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5160ba981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8edf9401b04876"/>
    <x:sheet xmlns:r="http://schemas.openxmlformats.org/officeDocument/2006/relationships" name="GIS_Input" sheetId="2" r:id="Rb94461fe23244f2f"/>
    <x:sheet xmlns:r="http://schemas.openxmlformats.org/officeDocument/2006/relationships" name="Figure_Request" sheetId="3" r:id="Re9285d0728724e21"/>
    <x:sheet xmlns:r="http://schemas.openxmlformats.org/officeDocument/2006/relationships" name="Symbology_Labeling" sheetId="4" r:id="Raf8b3d4b1ee4456d"/>
    <x:sheet xmlns:r="http://schemas.openxmlformats.org/officeDocument/2006/relationships" name="Figure_QAQC" sheetId="5" r:id="R951219076d7c41ba"/>
    <x:sheet xmlns:r="http://schemas.openxmlformats.org/officeDocument/2006/relationships" name="Sources_Assumptions" sheetId="6" r:id="R6e9352939a64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  <x:font>
      <x:b/>
      <x:sz val="1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CE4D6"/>
        </x:patternFill>
      </x:fill>
    </x:dxf>
    <x:dxf>
      <x:font>
        <x:b/>
      </x:font>
      <x:fill>
        <x:patternFill patternType="solid">
          <x:bgColor rgb="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5b3eef087434e" /><Relationship Type="http://schemas.openxmlformats.org/officeDocument/2006/relationships/theme" Target="/xl/theme/theme1.xml" Id="R84bebac346994c49" /><Relationship Type="http://schemas.openxmlformats.org/officeDocument/2006/relationships/sharedStrings" Target="/xl/sharedStrings.xml" Id="Reff141aa8089429b" /><Relationship Type="http://schemas.openxmlformats.org/officeDocument/2006/relationships/worksheet" Target="/xl/worksheets/sheet1.xml" Id="R568edf9401b04876" /><Relationship Type="http://schemas.openxmlformats.org/officeDocument/2006/relationships/worksheet" Target="/xl/worksheets/sheet2.xml" Id="Rb94461fe23244f2f" /><Relationship Type="http://schemas.openxmlformats.org/officeDocument/2006/relationships/worksheet" Target="/xl/worksheets/sheet3.xml" Id="Re9285d0728724e21" /><Relationship Type="http://schemas.openxmlformats.org/officeDocument/2006/relationships/worksheet" Target="/xl/worksheets/sheet4.xml" Id="Raf8b3d4b1ee4456d" /><Relationship Type="http://schemas.openxmlformats.org/officeDocument/2006/relationships/worksheet" Target="/xl/worksheets/sheet5.xml" Id="R951219076d7c41ba" /><Relationship Type="http://schemas.openxmlformats.org/officeDocument/2006/relationships/worksheet" Target="/xl/worksheets/sheet6.xml" Id="R6e9352939a644713" /></Relationships>
</file>

<file path=xl/tables/table1.xml><?xml version="1.0" encoding="utf-8"?>
<x:table xmlns:x="http://schemas.openxmlformats.org/spreadsheetml/2006/main" id="1" name="README_Table" displayName="README_Table" ref="A4:B10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GIS_Input_Table" displayName="GIS_Input_Table" ref="A4:AC76" headerRowCount="1">
  <x:tableColumns count="29">
    <x:tableColumn id="1" name="Well ID"/>
    <x:tableColumn id="2" name="Site Area"/>
    <x:tableColumn id="3" name="Zone"/>
    <x:tableColumn id="4" name="A/B/G Status"/>
    <x:tableColumn id="5" name="Northing"/>
    <x:tableColumn id="6" name="Easting"/>
    <x:tableColumn id="7" name="Coordinate System / Units"/>
    <x:tableColumn id="8" name="Screen Interval (ft bgs)"/>
    <x:tableColumn id="9" name="Top of Casing (ft NAVD)"/>
    <x:tableColumn id="10" name="Groundwater Elev. (ft NAVD)"/>
    <x:tableColumn id="11" name="Inspection Date"/>
    <x:tableColumn id="12" name="Sampled in 2025?"/>
    <x:tableColumn id="13" name="Gauged in 2025?"/>
    <x:tableColumn id="14" name="Required Analytical Suite"/>
    <x:tableColumn id="15" name="Actual 2025 Status"/>
    <x:tableColumn id="16" name="Sample Date / Sample ID"/>
    <x:tableColumn id="17" name="2025 COC Exceedance?"/>
    <x:tableColumn id="18" name="COC(s) Above BCT-CSL"/>
    <x:tableColumn id="19" name="2025 Result Summary"/>
    <x:tableColumn id="20" name="BCT-CSL Summary"/>
    <x:tableColumn id="21" name="Max Exceedance Ratio"/>
    <x:tableColumn id="22" name="Highest Exceedance Compound"/>
    <x:tableColumn id="23" name="Highest Exceedance Result (µg/L)"/>
    <x:tableColumn id="24" name="Recommended Symbol Category"/>
    <x:tableColumn id="25" name="Label Priority"/>
    <x:tableColumn id="26" name="Recommended 2026 Status"/>
    <x:tableColumn id="27" name="Scope Comment"/>
    <x:tableColumn id="28" name="Data / QA Note"/>
    <x:tableColumn id="29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Figure_Request_Table" displayName="Figure_Request_Table" ref="A4:K10" headerRowCount="1">
  <x:tableColumns count="11">
    <x:tableColumn id="1" name="Figure No."/>
    <x:tableColumn id="2" name="Figure Title"/>
    <x:tableColumn id="3" name="Report Location"/>
    <x:tableColumn id="4" name="Purpose"/>
    <x:tableColumn id="5" name="Required Layers / Content"/>
    <x:tableColumn id="6" name="Input Data Source"/>
    <x:tableColumn id="7" name="Symbology / Labeling Direction"/>
    <x:tableColumn id="8" name="Extent / Scale Direction"/>
    <x:tableColumn id="9" name="Deliverables"/>
    <x:tableColumn id="10" name="Statu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ymbology_Labeling_Table" displayName="Symbology_Labeling_Table" ref="A4:E15" headerRowCount="1">
  <x:tableColumns count="5">
    <x:tableColumn id="1" name="Layer / Category"/>
    <x:tableColumn id="2" name="Suggested Symbol Treatment"/>
    <x:tableColumn id="3" name="Label Rule"/>
    <x:tableColumn id="4" name="Use In Figures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Figure_QAQC_Table" displayName="Figure_QAQC_Table" ref="A4:F64" headerRowCount="1">
  <x:tableColumns count="6">
    <x:tableColumn id="1" name="Figure No."/>
    <x:tableColumn id="2" name="QA/QC Check Item"/>
    <x:tableColumn id="3" name="Status"/>
    <x:tableColumn id="4" name="Reviewer"/>
    <x:tableColumn id="5" name="Review Date"/>
    <x:tableColumn id="6" name="Comments"/>
  </x:tableColumns>
  <x:tableStyleInfo name="TableStyleMedium2" showRowStripes="1"/>
</x:table>
</file>

<file path=xl/tables/table6.xml><?xml version="1.0" encoding="utf-8"?>
<x:table xmlns:x="http://schemas.openxmlformats.org/spreadsheetml/2006/main" id="6" name="Sources_Assumptions_Table" displayName="Sources_Assumptions_Table" ref="A4:E10" headerRowCount="1">
  <x:tableColumns count="5">
    <x:tableColumn id="1" name="Source Document / Workbook"/>
    <x:tableColumn id="2" name="Workbook Use"/>
    <x:tableColumn id="3" name="Source Location / File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SS045">
  <a:themeElements>
    <a:clrScheme name="SS045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70AD47"/>
      </a:accent2>
      <a:accent3>
        <a:srgbClr val="C00000"/>
      </a:accent3>
      <a:accent4>
        <a:srgbClr val="5B9BD5"/>
      </a:accent4>
      <a:accent5>
        <a:srgbClr val="8064A2"/>
      </a:accent5>
      <a:accent6>
        <a:srgbClr val="F4B183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S045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6ec049959a4f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003a87261748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63ced2f373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ad0fb5f57d49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66887007bf44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c7199c1a01481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  <x:col min="4" max="4" width="25" hidden="0" customWidth="1"/>
    <x:col min="5" max="5" width="25" hidden="0" customWidth="1"/>
  </x:cols>
  <x:sheetData>
    <x:row r="1">
      <x:c r="A1" s="2" t="str">
        <x:v>2025 SS045 AMR GIS Input and Figure Request Package</x:v>
      </x:c>
      <x:c r="B1" s="2"/>
      <x:c r="C1" s="2"/>
      <x:c r="D1" s="2"/>
      <x:c r="E1" s="2"/>
      <x:c r="F1" s="2"/>
      <x:c r="G1" s="2"/>
      <x:c r="H1" s="2"/>
    </x:row>
    <x:row r="2">
      <x:c r="A2" s="18" t="str">
        <x:v>2025 SS045 AMR GIS Input Table and Figure Request Package</x:v>
      </x:c>
    </x:row>
    <x:row r="4">
      <x:c r="A4" s="12" t="str">
        <x:v>Item</x:v>
      </x:c>
      <x:c r="B4" s="12" t="str">
        <x:v>Description</x:v>
      </x:c>
      <x:c r="D4" s="22" t="str">
        <x:v>Metric</x:v>
      </x:c>
      <x:c r="E4" s="22" t="str">
        <x:v>Value</x:v>
      </x:c>
    </x:row>
    <x:row r="5">
      <x:c r="A5" s="16" t="str">
        <x:v>Purpose</x:v>
      </x:c>
      <x:c r="B5" s="16" t="str">
        <x:v>Provide GIS-ready input attributes and figure production specifications for the 2025 SS045 AMR working copy.</x:v>
      </x:c>
      <x:c r="D5" t="str">
        <x:v>GIS Input Rows</x:v>
      </x:c>
      <x:c r="E5" t="n">
        <x:v>72</x:v>
      </x:c>
    </x:row>
    <x:row r="6">
      <x:c r="A6" s="16" t="str">
        <x:v>Save Location</x:v>
      </x:c>
      <x:c r="B6" s="16" t="str">
        <x:v>03_Figures\2025_SS045_GIS_Input_Table_and_Figure_Request.xlsx</x:v>
      </x:c>
      <x:c r="D6" t="str">
        <x:v>2025 Sample Locations in Scope Matrix</x:v>
      </x:c>
      <x:c r="E6" t="n">
        <x:v>43</x:v>
      </x:c>
    </x:row>
    <x:row r="7">
      <x:c r="A7" s="16" t="str">
        <x:v>Use</x:v>
      </x:c>
      <x:c r="B7" s="16" t="str">
        <x:v>Send this workbook to GIS after Table 2-2 and Table 3-1 have been accepted as the current working basis. GIS should use this workbook with existing project GIS layers and final water-level data.</x:v>
      </x:c>
      <x:c r="D7" t="str">
        <x:v>2025 Exceedance Locations</x:v>
      </x:c>
      <x:c r="E7" t="n">
        <x:v>16</x:v>
      </x:c>
    </x:row>
    <x:row r="8">
      <x:c r="A8" s="16" t="str">
        <x:v>Report Figure Strategy</x:v>
      </x:c>
      <x:c r="B8" s="16" t="str">
        <x:v>Use a concise main-report figure package: site location, monitoring network/site areas, intermediate potentiometric surface, deep potentiometric surface, combined COC exceedance map, and priority well trend plate index.</x:v>
      </x:c>
      <x:c r="D8" t="str">
        <x:v>Requested Main-Report Figures</x:v>
      </x:c>
      <x:c r="E8" t="n">
        <x:v>6</x:v>
      </x:c>
    </x:row>
    <x:row r="9">
      <x:c r="A9" s="16" t="str">
        <x:v>Primary Sources</x:v>
      </x:c>
      <x:c r="B9" s="16" t="str">
        <x:v>Attachment 1A Table 1-A; 2025 AMR Tables 2-2 and 3-1; Work Plan/CMIWP source basis.</x:v>
      </x:c>
      <x:c r="D9" t="str">
        <x:v>Priority Label Rows</x:v>
      </x:c>
      <x:c r="E9" t="n">
        <x:v>5</x:v>
      </x:c>
    </x:row>
    <x:row r="10">
      <x:c r="A10" s="16" t="str">
        <x:v>Important Note</x:v>
      </x:c>
      <x:c r="B10" s="16" t="str">
        <x:v>This workbook is a working GIS request package. Values should be reconciled against the final analytical summary table and final water-level table before client submittal.</x:v>
      </x:c>
    </x:row>
  </x:sheetData>
  <x:pageMargins left="0.7" right="0.7" top="0.75" bottom="0.75" header="0.3" footer="0.3"/>
  <x:tableParts count="1">
    <x:tablePart xmlns:r="http://schemas.openxmlformats.org/officeDocument/2006/relationships" r:id="R146ec049959a4f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5" hidden="0" customWidth="1"/>
    <x:col min="4" max="4" width="12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12" hidden="0" customWidth="1"/>
    <x:col min="14" max="14" width="22" hidden="0" customWidth="1"/>
    <x:col min="15" max="15" width="28" hidden="0" customWidth="1"/>
    <x:col min="16" max="16" width="40" hidden="0" customWidth="1"/>
    <x:col min="17" max="17" width="16" hidden="0" customWidth="1"/>
    <x:col min="18" max="18" width="24" hidden="0" customWidth="1"/>
    <x:col min="19" max="19" width="42" hidden="0" customWidth="1"/>
    <x:col min="20" max="20" width="24" hidden="0" customWidth="1"/>
    <x:col min="21" max="21" width="14" hidden="0" customWidth="1"/>
    <x:col min="22" max="22" width="24" hidden="0" customWidth="1"/>
    <x:col min="23" max="23" width="20" hidden="0" customWidth="1"/>
    <x:col min="24" max="24" width="26" hidden="0" customWidth="1"/>
    <x:col min="25" max="25" width="12" hidden="0" customWidth="1"/>
    <x:col min="26" max="26" width="46" hidden="0" customWidth="1"/>
    <x:col min="27" max="27" width="40" hidden="0" customWidth="1"/>
    <x:col min="28" max="28" width="38" hidden="0" customWidth="1"/>
    <x:col min="29" max="29" width="34" hidden="0" customWidth="1"/>
  </x:cols>
  <x:sheetData>
    <x:row r="1">
      <x:c r="A1" s="2" t="str">
        <x:v>GIS Input Table for 2025 SS045 AMR Figures</x:v>
      </x:c>
      <x:c r="B1" s="2"/>
      <x:c r="C1" s="2"/>
      <x:c r="D1" s="2"/>
      <x:c r="E1" s="2"/>
      <x:c r="F1" s="2"/>
      <x:c r="G1" s="2"/>
      <x:c r="H1" s="2"/>
    </x:row>
    <x:row r="4" ht="42" customHeight="1">
      <x:c r="A4" s="12" t="str">
        <x:v>Well ID</x:v>
      </x:c>
      <x:c r="B4" s="12" t="str">
        <x:v>Site Area</x:v>
      </x:c>
      <x:c r="C4" s="12" t="str">
        <x:v>Zone</x:v>
      </x:c>
      <x:c r="D4" s="12" t="str">
        <x:v>A/B/G Status</x:v>
      </x:c>
      <x:c r="E4" s="12" t="str">
        <x:v>Northing</x:v>
      </x:c>
      <x:c r="F4" s="12" t="str">
        <x:v>Easting</x:v>
      </x:c>
      <x:c r="G4" s="12" t="str">
        <x:v>Coordinate System / Units</x:v>
      </x:c>
      <x:c r="H4" s="12" t="str">
        <x:v>Screen Interval (ft bgs)</x:v>
      </x:c>
      <x:c r="I4" s="12" t="str">
        <x:v>Top of Casing (ft NAVD)</x:v>
      </x:c>
      <x:c r="J4" s="12" t="str">
        <x:v>Groundwater Elev. (ft NAVD)</x:v>
      </x:c>
      <x:c r="K4" s="12" t="str">
        <x:v>Inspection Date</x:v>
      </x:c>
      <x:c r="L4" s="12" t="str">
        <x:v>Sampled in 2025?</x:v>
      </x:c>
      <x:c r="M4" s="12" t="str">
        <x:v>Gauged in 2025?</x:v>
      </x:c>
      <x:c r="N4" s="12" t="str">
        <x:v>Required Analytical Suite</x:v>
      </x:c>
      <x:c r="O4" s="12" t="str">
        <x:v>Actual 2025 Status</x:v>
      </x:c>
      <x:c r="P4" s="12" t="str">
        <x:v>Sample Date / Sample ID</x:v>
      </x:c>
      <x:c r="Q4" s="12" t="str">
        <x:v>2025 COC Exceedance?</x:v>
      </x:c>
      <x:c r="R4" s="12" t="str">
        <x:v>COC(s) Above BCT-CSL</x:v>
      </x:c>
      <x:c r="S4" s="12" t="str">
        <x:v>2025 Result Summary</x:v>
      </x:c>
      <x:c r="T4" s="12" t="str">
        <x:v>BCT-CSL Summary</x:v>
      </x:c>
      <x:c r="U4" s="12" t="str">
        <x:v>Max Exceedance Ratio</x:v>
      </x:c>
      <x:c r="V4" s="12" t="str">
        <x:v>Highest Exceedance Compound</x:v>
      </x:c>
      <x:c r="W4" s="12" t="str">
        <x:v>Highest Exceedance Result (µg/L)</x:v>
      </x:c>
      <x:c r="X4" s="12" t="str">
        <x:v>Recommended Symbol Category</x:v>
      </x:c>
      <x:c r="Y4" s="12" t="str">
        <x:v>Label Priority</x:v>
      </x:c>
      <x:c r="Z4" s="12" t="str">
        <x:v>Recommended 2026 Status</x:v>
      </x:c>
      <x:c r="AA4" s="12" t="str">
        <x:v>Scope Comment</x:v>
      </x:c>
      <x:c r="AB4" s="12" t="str">
        <x:v>Data / QA Note</x:v>
      </x:c>
      <x:c r="AC4" s="12" t="str">
        <x:v>Source</x:v>
      </x:c>
    </x:row>
    <x:row r="5" ht="45" customHeight="1">
      <x:c r="A5" s="16" t="str">
        <x:v>BH01MW02</x:v>
      </x:c>
      <x:c r="B5" s="16" t="str">
        <x:v>Central/BH-01</x:v>
      </x:c>
      <x:c r="C5" s="16" t="str">
        <x:v>Shallow</x:v>
      </x:c>
      <x:c r="D5" s="16" t="str">
        <x:v>G</x:v>
      </x:c>
      <x:c r="E5" s="16" t="str">
        <x:v>299127.17</x:v>
      </x:c>
      <x:c r="F5" s="16" t="str">
        <x:v>3270060.12</x:v>
      </x:c>
      <x:c r="G5" s="16" t="str">
        <x:v>NAD 1983 StatePlane Louisiana North FIPS 1701 Feet (US ft) - confirm with GIS</x:v>
      </x:c>
      <x:c r="H5" s="16" t="str">
        <x:v>19.8 - 29.8</x:v>
      </x:c>
      <x:c r="I5" s="16" t="str">
        <x:v>87.89</x:v>
      </x:c>
      <x:c r="J5" s="16" t="str">
        <x:v>75.87</x:v>
      </x:c>
      <x:c r="K5" s="16" t="str">
        <x:v>9/16/2025</x:v>
      </x:c>
      <x:c r="L5" s="16" t="str">
        <x:v>Y</x:v>
      </x:c>
      <x:c r="M5" s="16" t="str">
        <x:v>Y</x:v>
      </x:c>
      <x:c r="N5" s="16" t="str">
        <x:v>VOC + MNA</x:v>
      </x:c>
      <x:c r="O5" s="16" t="str">
        <x:v>Complete – duplicate collected</x:v>
      </x:c>
      <x:c r="P5" s="16" t="str">
        <x:v>2025-09-16 / BH01MW02_09162025; duplicate BH01MW02_09162025B</x:v>
      </x:c>
      <x:c r="Q5" s="16" t="str">
        <x:v>Y</x:v>
      </x:c>
      <x:c r="R5" s="16" t="str">
        <x:v>Benzene; VC</x:v>
      </x:c>
      <x:c r="S5" s="16" t="str">
        <x:v>Benzene = 13.8 [13.9 duplicate]; VC = 38.7 [34.3 duplicate]</x:v>
      </x:c>
      <x:c r="T5" s="16" t="str">
        <x:v>Benzene = 5; VC = 2</x:v>
      </x:c>
      <x:c r="U5" s="16" t="n">
        <x:v>19.35</x:v>
      </x:c>
      <x:c r="V5" s="16" t="str">
        <x:v>VC</x:v>
      </x:c>
      <x:c r="W5" s="16" t="n">
        <x:v>38.7</x:v>
      </x:c>
      <x:c r="X5" s="16" t="str">
        <x:v>Multi-COC exceedance</x:v>
      </x:c>
      <x:c r="Y5" s="16" t="n">
        <x:v>1</x:v>
      </x:c>
      <x:c r="Z5" s="16" t="str">
        <x:v>Continue annual VOC + MNA monitoring for trend confirmation.</x:v>
      </x:c>
      <x:c r="AA5" s="16" t="str"/>
      <x:c r="AB5" s="16" t="str">
        <x:v>Duplicate collected; parent and duplicate both exceed BCT-CSLs.</x:v>
      </x:c>
      <x:c r="AC5" s="16" t="str">
        <x:v>Attachment 1A Table 1-A; AMR Tables 2-2 and 3-1</x:v>
      </x:c>
    </x:row>
    <x:row r="6" ht="45" customHeight="1">
      <x:c r="A6" s="16" t="str">
        <x:v>BH01MW04</x:v>
      </x:c>
      <x:c r="B6" s="16" t="str">
        <x:v>Central/BH-01</x:v>
      </x:c>
      <x:c r="C6" s="16" t="str">
        <x:v>Shallow</x:v>
      </x:c>
      <x:c r="D6" s="16" t="str">
        <x:v>G</x:v>
      </x:c>
      <x:c r="E6" s="16" t="str">
        <x:v>299108.65</x:v>
      </x:c>
      <x:c r="F6" s="16" t="str">
        <x:v>3270214.17</x:v>
      </x:c>
      <x:c r="G6" s="16" t="str">
        <x:v>NAD 1983 StatePlane Louisiana North FIPS 1701 Feet (US ft) - confirm with GIS</x:v>
      </x:c>
      <x:c r="H6" s="16" t="str">
        <x:v>19.5 - 29.5</x:v>
      </x:c>
      <x:c r="I6" s="16" t="str">
        <x:v>81.33</x:v>
      </x:c>
      <x:c r="J6" s="16" t="str">
        <x:v>75.64</x:v>
      </x:c>
      <x:c r="K6" s="16" t="str">
        <x:v>9/16/2025</x:v>
      </x:c>
      <x:c r="L6" s="16" t="str">
        <x:v>N</x:v>
      </x:c>
      <x:c r="M6" s="16" t="str">
        <x:v>Y</x:v>
      </x:c>
      <x:c r="N6" s="16" t="str"/>
      <x:c r="O6" s="16" t="str">
        <x:v>Gauged/inspected only</x:v>
      </x:c>
      <x:c r="P6" s="16" t="str"/>
      <x:c r="Q6" s="16" t="str">
        <x:v>N</x:v>
      </x:c>
      <x:c r="R6" s="16" t="str"/>
      <x:c r="S6" s="16" t="str"/>
      <x:c r="T6" s="16" t="str"/>
      <x:c r="U6" s="16" t="str"/>
      <x:c r="V6" s="16" t="str"/>
      <x:c r="W6" s="16" t="str"/>
      <x:c r="X6" s="16" t="str">
        <x:v>Gauging/inspection only</x:v>
      </x:c>
      <x:c r="Y6" s="16" t="n">
        <x:v>4</x:v>
      </x:c>
      <x:c r="Z6" s="16" t="str">
        <x:v>Retain for annual gauging/inspection as applicable.</x:v>
      </x:c>
      <x:c r="AA6" s="16" t="str"/>
      <x:c r="AB6" s="16" t="str"/>
      <x:c r="AC6" s="16" t="str">
        <x:v>Attachment 1A Table 1-A; AMR Tables 2-2 and 3-1</x:v>
      </x:c>
    </x:row>
    <x:row r="7" ht="45" customHeight="1">
      <x:c r="A7" s="16" t="str">
        <x:v>BH01MW06</x:v>
      </x:c>
      <x:c r="B7" s="16" t="str">
        <x:v>Central/BH-01</x:v>
      </x:c>
      <x:c r="C7" s="16" t="str">
        <x:v>Shallow</x:v>
      </x:c>
      <x:c r="D7" s="16" t="str">
        <x:v>G</x:v>
      </x:c>
      <x:c r="E7" s="16" t="str">
        <x:v>299203.26</x:v>
      </x:c>
      <x:c r="F7" s="16" t="str">
        <x:v>3270281.42</x:v>
      </x:c>
      <x:c r="G7" s="16" t="str">
        <x:v>NAD 1983 StatePlane Louisiana North FIPS 1701 Feet (US ft) - confirm with GIS</x:v>
      </x:c>
      <x:c r="H7" s="16" t="str">
        <x:v>24.1 - 34.1</x:v>
      </x:c>
      <x:c r="I7" s="16" t="str">
        <x:v>78.59</x:v>
      </x:c>
      <x:c r="J7" s="16" t="str">
        <x:v>74.36</x:v>
      </x:c>
      <x:c r="K7" s="16" t="str">
        <x:v>9/16/2025</x:v>
      </x:c>
      <x:c r="L7" s="16" t="str">
        <x:v>N</x:v>
      </x:c>
      <x:c r="M7" s="16" t="str">
        <x:v>Y</x:v>
      </x:c>
      <x:c r="N7" s="16" t="str"/>
      <x:c r="O7" s="16" t="str">
        <x:v>Gauged/inspected only</x:v>
      </x:c>
      <x:c r="P7" s="16" t="str"/>
      <x:c r="Q7" s="16" t="str">
        <x:v>N</x:v>
      </x:c>
      <x:c r="R7" s="16" t="str"/>
      <x:c r="S7" s="16" t="str"/>
      <x:c r="T7" s="16" t="str"/>
      <x:c r="U7" s="16" t="str"/>
      <x:c r="V7" s="16" t="str"/>
      <x:c r="W7" s="16" t="str"/>
      <x:c r="X7" s="16" t="str">
        <x:v>Gauging/inspection only</x:v>
      </x:c>
      <x:c r="Y7" s="16" t="n">
        <x:v>4</x:v>
      </x:c>
      <x:c r="Z7" s="16" t="str">
        <x:v>Retain for annual gauging/inspection as applicable.</x:v>
      </x:c>
      <x:c r="AA7" s="16" t="str"/>
      <x:c r="AB7" s="16" t="str"/>
      <x:c r="AC7" s="16" t="str">
        <x:v>Attachment 1A Table 1-A; AMR Tables 2-2 and 3-1</x:v>
      </x:c>
    </x:row>
    <x:row r="8" ht="45" customHeight="1">
      <x:c r="A8" s="16" t="str">
        <x:v>A39G012MW</x:v>
      </x:c>
      <x:c r="B8" s="16" t="str">
        <x:v>Le Tig Bayou</x:v>
      </x:c>
      <x:c r="C8" s="16" t="str">
        <x:v>Intermediate</x:v>
      </x:c>
      <x:c r="D8" s="16" t="str">
        <x:v>B</x:v>
      </x:c>
      <x:c r="E8" s="16" t="str">
        <x:v>297758.64</x:v>
      </x:c>
      <x:c r="F8" s="16" t="str">
        <x:v>3271867.12</x:v>
      </x:c>
      <x:c r="G8" s="16" t="str">
        <x:v>NAD 1983 StatePlane Louisiana North FIPS 1701 Feet (US ft) - confirm with GIS</x:v>
      </x:c>
      <x:c r="H8" s="16" t="str">
        <x:v>63 - 73</x:v>
      </x:c>
      <x:c r="I8" s="16" t="str">
        <x:v>85.14</x:v>
      </x:c>
      <x:c r="J8" s="16" t="str">
        <x:v>74.99</x:v>
      </x:c>
      <x:c r="K8" s="16" t="str">
        <x:v>9/18/2025</x:v>
      </x:c>
      <x:c r="L8" s="16" t="str">
        <x:v>Y</x:v>
      </x:c>
      <x:c r="M8" s="16" t="str">
        <x:v>Y</x:v>
      </x:c>
      <x:c r="N8" s="16" t="str">
        <x:v>VOC</x:v>
      </x:c>
      <x:c r="O8" s="16" t="str">
        <x:v>Complete</x:v>
      </x:c>
      <x:c r="P8" s="16" t="str">
        <x:v>2025-09-18 / A39G012MW_09182025</x:v>
      </x:c>
      <x:c r="Q8" s="16" t="str">
        <x:v>N</x:v>
      </x:c>
      <x:c r="R8" s="16" t="str"/>
      <x:c r="S8" s="16" t="str"/>
      <x:c r="T8" s="16" t="str"/>
      <x:c r="U8" s="16" t="str"/>
      <x:c r="V8" s="16" t="str"/>
      <x:c r="W8" s="16" t="str"/>
      <x:c r="X8" s="16" t="str">
        <x:v>Sampled – no COC exceedance</x:v>
      </x:c>
      <x:c r="Y8" s="16" t="n">
        <x:v>3</x:v>
      </x:c>
      <x:c r="Z8" s="16" t="str">
        <x:v>Retain in optimized schedule; no escalation unless trend or exceedance trigger is identified.</x:v>
      </x:c>
      <x:c r="AA8" s="16" t="str"/>
      <x:c r="AB8" s="16" t="str"/>
      <x:c r="AC8" s="16" t="str">
        <x:v>Attachment 1A Table 1-A; AMR Tables 2-2 and 3-1</x:v>
      </x:c>
    </x:row>
    <x:row r="9" ht="45" customHeight="1">
      <x:c r="A9" s="16" t="str">
        <x:v>A39L005PZ</x:v>
      </x:c>
      <x:c r="B9" s="16" t="str">
        <x:v>Context / confirm with GIS site-area layer</x:v>
      </x:c>
      <x:c r="C9" s="16" t="str">
        <x:v>Intermediate</x:v>
      </x:c>
      <x:c r="D9" s="16" t="str">
        <x:v>G</x:v>
      </x:c>
      <x:c r="E9" s="16" t="str">
        <x:v>299241.13</x:v>
      </x:c>
      <x:c r="F9" s="16" t="str">
        <x:v>3269010.07</x:v>
      </x:c>
      <x:c r="G9" s="16" t="str">
        <x:v>NAD 1983 StatePlane Louisiana North FIPS 1701 Feet (US ft) - confirm with GIS</x:v>
      </x:c>
      <x:c r="H9" s="16" t="str">
        <x:v>59.2 - 69.2</x:v>
      </x:c>
      <x:c r="I9" s="16" t="str">
        <x:v>85.51</x:v>
      </x:c>
      <x:c r="J9" s="16" t="str">
        <x:v>74.72</x:v>
      </x:c>
      <x:c r="K9" s="16" t="str">
        <x:v>9/22/2025</x:v>
      </x:c>
      <x:c r="L9" s="16" t="str">
        <x:v>N</x:v>
      </x:c>
      <x:c r="M9" s="16" t="str">
        <x:v>Y</x:v>
      </x:c>
      <x:c r="N9" s="16" t="str"/>
      <x:c r="O9" s="16" t="str">
        <x:v>Gauged/inspected only</x:v>
      </x:c>
      <x:c r="P9" s="16" t="str"/>
      <x:c r="Q9" s="16" t="str">
        <x:v>N</x:v>
      </x:c>
      <x:c r="R9" s="16" t="str"/>
      <x:c r="S9" s="16" t="str"/>
      <x:c r="T9" s="16" t="str"/>
      <x:c r="U9" s="16" t="str"/>
      <x:c r="V9" s="16" t="str"/>
      <x:c r="W9" s="16" t="str"/>
      <x:c r="X9" s="16" t="str">
        <x:v>Gauging/inspection only</x:v>
      </x:c>
      <x:c r="Y9" s="16" t="n">
        <x:v>4</x:v>
      </x:c>
      <x:c r="Z9" s="16" t="str">
        <x:v>Retain for annual gauging/inspection as applicable.</x:v>
      </x:c>
      <x:c r="AA9" s="16" t="str"/>
      <x:c r="AB9" s="16" t="str"/>
      <x:c r="AC9" s="16" t="str">
        <x:v>Attachment 1A Table 1-A; AMR Tables 2-2 and 3-1</x:v>
      </x:c>
    </x:row>
    <x:row r="10" ht="45" customHeight="1">
      <x:c r="A10" s="16" t="str">
        <x:v>A39L006PZ</x:v>
      </x:c>
      <x:c r="B10" s="16" t="str">
        <x:v>Context / confirm with GIS site-area layer</x:v>
      </x:c>
      <x:c r="C10" s="16" t="str">
        <x:v>Intermediate</x:v>
      </x:c>
      <x:c r="D10" s="16" t="str">
        <x:v>G</x:v>
      </x:c>
      <x:c r="E10" s="16" t="str">
        <x:v>299884.38</x:v>
      </x:c>
      <x:c r="F10" s="16" t="str">
        <x:v>3269425.69</x:v>
      </x:c>
      <x:c r="G10" s="16" t="str">
        <x:v>NAD 1983 StatePlane Louisiana North FIPS 1701 Feet (US ft) - confirm with GIS</x:v>
      </x:c>
      <x:c r="H10" s="16" t="str">
        <x:v>61.8 - 71.8</x:v>
      </x:c>
      <x:c r="I10" s="16" t="str">
        <x:v>84.69</x:v>
      </x:c>
      <x:c r="J10" s="16" t="str">
        <x:v>73.95</x:v>
      </x:c>
      <x:c r="K10" s="16" t="str">
        <x:v>9/20/2025</x:v>
      </x:c>
      <x:c r="L10" s="16" t="str">
        <x:v>N</x:v>
      </x:c>
      <x:c r="M10" s="16" t="str">
        <x:v>Y</x:v>
      </x:c>
      <x:c r="N10" s="16" t="str"/>
      <x:c r="O10" s="16" t="str">
        <x:v>Gauged/inspected only</x:v>
      </x:c>
      <x:c r="P10" s="16" t="str"/>
      <x:c r="Q10" s="16" t="str">
        <x:v>N</x:v>
      </x:c>
      <x:c r="R10" s="16" t="str"/>
      <x:c r="S10" s="16" t="str"/>
      <x:c r="T10" s="16" t="str"/>
      <x:c r="U10" s="16" t="str"/>
      <x:c r="V10" s="16" t="str"/>
      <x:c r="W10" s="16" t="str"/>
      <x:c r="X10" s="16" t="str">
        <x:v>Gauging/inspection only</x:v>
      </x:c>
      <x:c r="Y10" s="16" t="n">
        <x:v>4</x:v>
      </x:c>
      <x:c r="Z10" s="16" t="str">
        <x:v>Retain for annual gauging/inspection as applicable.</x:v>
      </x:c>
      <x:c r="AA10" s="16" t="str"/>
      <x:c r="AB10" s="16" t="str"/>
      <x:c r="AC10" s="16" t="str">
        <x:v>Attachment 1A Table 1-A; AMR Tables 2-2 and 3-1</x:v>
      </x:c>
    </x:row>
    <x:row r="11" ht="45" customHeight="1">
      <x:c r="A11" s="16" t="str">
        <x:v>A39L009PZ</x:v>
      </x:c>
      <x:c r="B11" s="16" t="str">
        <x:v>Context / confirm with GIS site-area layer</x:v>
      </x:c>
      <x:c r="C11" s="16" t="str">
        <x:v>Intermediate</x:v>
      </x:c>
      <x:c r="D11" s="16" t="str">
        <x:v>G</x:v>
      </x:c>
      <x:c r="E11" s="16" t="str">
        <x:v>300393.80</x:v>
      </x:c>
      <x:c r="F11" s="16" t="str">
        <x:v>3268547.15</x:v>
      </x:c>
      <x:c r="G11" s="16" t="str">
        <x:v>NAD 1983 StatePlane Louisiana North FIPS 1701 Feet (US ft) - confirm with GIS</x:v>
      </x:c>
      <x:c r="H11" s="16" t="str">
        <x:v>64.4 - 74.1</x:v>
      </x:c>
      <x:c r="I11" s="16" t="str">
        <x:v>84.15</x:v>
      </x:c>
      <x:c r="J11" s="16" t="str">
        <x:v>34.21</x:v>
      </x:c>
      <x:c r="K11" s="16" t="str">
        <x:v>9/20/2025</x:v>
      </x:c>
      <x:c r="L11" s="16" t="str">
        <x:v>N</x:v>
      </x:c>
      <x:c r="M11" s="16" t="str">
        <x:v>Y</x:v>
      </x:c>
      <x:c r="N11" s="16" t="str"/>
      <x:c r="O11" s="16" t="str">
        <x:v>Gauged/inspected only</x:v>
      </x:c>
      <x:c r="P11" s="16" t="str"/>
      <x:c r="Q11" s="16" t="str">
        <x:v>N</x:v>
      </x:c>
      <x:c r="R11" s="16" t="str"/>
      <x:c r="S11" s="16" t="str"/>
      <x:c r="T11" s="16" t="str"/>
      <x:c r="U11" s="16" t="str"/>
      <x:c r="V11" s="16" t="str"/>
      <x:c r="W11" s="16" t="str"/>
      <x:c r="X11" s="16" t="str">
        <x:v>Gauging/inspection only</x:v>
      </x:c>
      <x:c r="Y11" s="16" t="n">
        <x:v>4</x:v>
      </x:c>
      <x:c r="Z11" s="16" t="str">
        <x:v>Retain for annual gauging/inspection as applicable.</x:v>
      </x:c>
      <x:c r="AA11" s="16" t="str"/>
      <x:c r="AB11" s="16" t="str"/>
      <x:c r="AC11" s="16" t="str">
        <x:v>Attachment 1A Table 1-A; AMR Tables 2-2 and 3-1</x:v>
      </x:c>
    </x:row>
    <x:row r="12" ht="45" customHeight="1">
      <x:c r="A12" s="16" t="str">
        <x:v>A39L010PZ</x:v>
      </x:c>
      <x:c r="B12" s="16" t="str">
        <x:v>Context / confirm with GIS site-area layer</x:v>
      </x:c>
      <x:c r="C12" s="16" t="str">
        <x:v>Intermediate</x:v>
      </x:c>
      <x:c r="D12" s="16" t="str">
        <x:v>G</x:v>
      </x:c>
      <x:c r="E12" s="16" t="str">
        <x:v>298815.46</x:v>
      </x:c>
      <x:c r="F12" s="16" t="str">
        <x:v>3271764.43</x:v>
      </x:c>
      <x:c r="G12" s="16" t="str">
        <x:v>NAD 1983 StatePlane Louisiana North FIPS 1701 Feet (US ft) - confirm with GIS</x:v>
      </x:c>
      <x:c r="H12" s="16" t="str">
        <x:v>55 - 65</x:v>
      </x:c>
      <x:c r="I12" s="16" t="str">
        <x:v>86.93</x:v>
      </x:c>
      <x:c r="J12" s="16" t="str">
        <x:v>74.77</x:v>
      </x:c>
      <x:c r="K12" s="16" t="str">
        <x:v>9/17/2025</x:v>
      </x:c>
      <x:c r="L12" s="16" t="str">
        <x:v>N</x:v>
      </x:c>
      <x:c r="M12" s="16" t="str">
        <x:v>Y</x:v>
      </x:c>
      <x:c r="N12" s="16" t="str"/>
      <x:c r="O12" s="16" t="str">
        <x:v>Gauged/inspected only</x:v>
      </x:c>
      <x:c r="P12" s="16" t="str"/>
      <x:c r="Q12" s="16" t="str">
        <x:v>N</x:v>
      </x:c>
      <x:c r="R12" s="16" t="str"/>
      <x:c r="S12" s="16" t="str"/>
      <x:c r="T12" s="16" t="str"/>
      <x:c r="U12" s="16" t="str"/>
      <x:c r="V12" s="16" t="str"/>
      <x:c r="W12" s="16" t="str"/>
      <x:c r="X12" s="16" t="str">
        <x:v>Gauging/inspection only</x:v>
      </x:c>
      <x:c r="Y12" s="16" t="n">
        <x:v>4</x:v>
      </x:c>
      <x:c r="Z12" s="16" t="str">
        <x:v>Retain for annual gauging/inspection as applicable.</x:v>
      </x:c>
      <x:c r="AA12" s="16" t="str"/>
      <x:c r="AB12" s="16" t="str"/>
      <x:c r="AC12" s="16" t="str">
        <x:v>Attachment 1A Table 1-A; AMR Tables 2-2 and 3-1</x:v>
      </x:c>
    </x:row>
    <x:row r="13" ht="45" customHeight="1">
      <x:c r="A13" s="16" t="str">
        <x:v>A39L011PZ</x:v>
      </x:c>
      <x:c r="B13" s="16" t="str">
        <x:v>Le Tig Bayou</x:v>
      </x:c>
      <x:c r="C13" s="16" t="str">
        <x:v>Intermediate</x:v>
      </x:c>
      <x:c r="D13" s="16" t="str">
        <x:v>B</x:v>
      </x:c>
      <x:c r="E13" s="16" t="str">
        <x:v>298075.28</x:v>
      </x:c>
      <x:c r="F13" s="16" t="str">
        <x:v>3271345.05</x:v>
      </x:c>
      <x:c r="G13" s="16" t="str">
        <x:v>NAD 1983 StatePlane Louisiana North FIPS 1701 Feet (US ft) - confirm with GIS</x:v>
      </x:c>
      <x:c r="H13" s="16" t="str">
        <x:v>40 - 50</x:v>
      </x:c>
      <x:c r="I13" s="16" t="str">
        <x:v>88.31</x:v>
      </x:c>
      <x:c r="J13" s="16" t="str">
        <x:v>75.37</x:v>
      </x:c>
      <x:c r="K13" s="16" t="str">
        <x:v>9/18/2025</x:v>
      </x:c>
      <x:c r="L13" s="16" t="str">
        <x:v>Y</x:v>
      </x:c>
      <x:c r="M13" s="16" t="str">
        <x:v>Y</x:v>
      </x:c>
      <x:c r="N13" s="16" t="str">
        <x:v>VOC</x:v>
      </x:c>
      <x:c r="O13" s="16" t="str">
        <x:v>Complete</x:v>
      </x:c>
      <x:c r="P13" s="16" t="str">
        <x:v>2025-09-18 / A39L011PZ_09182025</x:v>
      </x:c>
      <x:c r="Q13" s="16" t="str">
        <x:v>N</x:v>
      </x:c>
      <x:c r="R13" s="16" t="str"/>
      <x:c r="S13" s="16" t="str"/>
      <x:c r="T13" s="16" t="str"/>
      <x:c r="U13" s="16" t="str"/>
      <x:c r="V13" s="16" t="str"/>
      <x:c r="W13" s="16" t="str"/>
      <x:c r="X13" s="16" t="str">
        <x:v>Sampled – no COC exceedance</x:v>
      </x:c>
      <x:c r="Y13" s="16" t="n">
        <x:v>3</x:v>
      </x:c>
      <x:c r="Z13" s="16" t="str">
        <x:v>Retain in optimized schedule; no escalation unless trend or exceedance trigger is identified.</x:v>
      </x:c>
      <x:c r="AA13" s="16" t="str"/>
      <x:c r="AB13" s="16" t="str"/>
      <x:c r="AC13" s="16" t="str">
        <x:v>Attachment 1A Table 1-A; AMR Tables 2-2 and 3-1</x:v>
      </x:c>
    </x:row>
    <x:row r="14" ht="45" customHeight="1">
      <x:c r="A14" s="16" t="str">
        <x:v>A39L013DP</x:v>
      </x:c>
      <x:c r="B14" s="16" t="str">
        <x:v>Context / confirm with GIS site-area layer</x:v>
      </x:c>
      <x:c r="C14" s="16" t="str">
        <x:v>Intermediate</x:v>
      </x:c>
      <x:c r="D14" s="16" t="str">
        <x:v>G</x:v>
      </x:c>
      <x:c r="E14" s="16" t="str">
        <x:v>300665.46</x:v>
      </x:c>
      <x:c r="F14" s="16" t="str">
        <x:v>3269065.48</x:v>
      </x:c>
      <x:c r="G14" s="16" t="str">
        <x:v>NAD 1983 StatePlane Louisiana North FIPS 1701 Feet (US ft) - confirm with GIS</x:v>
      </x:c>
      <x:c r="H14" s="16" t="str">
        <x:v>40 - 50</x:v>
      </x:c>
      <x:c r="I14" s="16" t="str">
        <x:v>84.74</x:v>
      </x:c>
      <x:c r="J14" s="16" t="str">
        <x:v>74.72</x:v>
      </x:c>
      <x:c r="K14" s="16" t="str">
        <x:v>9/20/2025</x:v>
      </x:c>
      <x:c r="L14" s="16" t="str">
        <x:v>N</x:v>
      </x:c>
      <x:c r="M14" s="16" t="str">
        <x:v>Y</x:v>
      </x:c>
      <x:c r="N14" s="16" t="str"/>
      <x:c r="O14" s="16" t="str">
        <x:v>Gauged/inspected only</x:v>
      </x:c>
      <x:c r="P14" s="16" t="str"/>
      <x:c r="Q14" s="16" t="str">
        <x:v>N</x:v>
      </x:c>
      <x:c r="R14" s="16" t="str"/>
      <x:c r="S14" s="16" t="str"/>
      <x:c r="T14" s="16" t="str"/>
      <x:c r="U14" s="16" t="str"/>
      <x:c r="V14" s="16" t="str"/>
      <x:c r="W14" s="16" t="str"/>
      <x:c r="X14" s="16" t="str">
        <x:v>Gauging/inspection only</x:v>
      </x:c>
      <x:c r="Y14" s="16" t="n">
        <x:v>4</x:v>
      </x:c>
      <x:c r="Z14" s="16" t="str">
        <x:v>Retain for annual gauging/inspection as applicable.</x:v>
      </x:c>
      <x:c r="AA14" s="16" t="str"/>
      <x:c r="AB14" s="16" t="str"/>
      <x:c r="AC14" s="16" t="str">
        <x:v>Attachment 1A Table 1-A; AMR Tables 2-2 and 3-1</x:v>
      </x:c>
    </x:row>
    <x:row r="15" ht="45" customHeight="1">
      <x:c r="A15" s="16" t="str">
        <x:v>A39L013PZ</x:v>
      </x:c>
      <x:c r="B15" s="16" t="str">
        <x:v>Context / confirm with GIS site-area layer</x:v>
      </x:c>
      <x:c r="C15" s="16" t="str">
        <x:v>Intermediate</x:v>
      </x:c>
      <x:c r="D15" s="16" t="str">
        <x:v>G</x:v>
      </x:c>
      <x:c r="E15" s="16" t="str">
        <x:v>297286.01</x:v>
      </x:c>
      <x:c r="F15" s="16" t="str">
        <x:v>3270548.22</x:v>
      </x:c>
      <x:c r="G15" s="16" t="str">
        <x:v>NAD 1983 StatePlane Louisiana North FIPS 1701 Feet (US ft) - confirm with GIS</x:v>
      </x:c>
      <x:c r="H15" s="16" t="str">
        <x:v>60 - 69.8</x:v>
      </x:c>
      <x:c r="I15" s="16" t="str">
        <x:v>86.20</x:v>
      </x:c>
      <x:c r="J15" s="16" t="str"/>
      <x:c r="K15" s="16" t="str"/>
      <x:c r="L15" s="16" t="str">
        <x:v>N</x:v>
      </x:c>
      <x:c r="M15" s="16" t="str">
        <x:v>N</x:v>
      </x:c>
      <x:c r="N15" s="16" t="str"/>
      <x:c r="O15" s="16" t="str">
        <x:v>Not found / not gauged</x:v>
      </x:c>
      <x:c r="P15" s="16" t="str"/>
      <x:c r="Q15" s="16" t="str">
        <x:v>N</x:v>
      </x:c>
      <x:c r="R15" s="16" t="str"/>
      <x:c r="S15" s="16" t="str"/>
      <x:c r="T15" s="16" t="str"/>
      <x:c r="U15" s="16" t="str"/>
      <x:c r="V15" s="16" t="str"/>
      <x:c r="W15" s="16" t="str"/>
      <x:c r="X15" s="16" t="str">
        <x:v>Field exception / not found</x:v>
      </x:c>
      <x:c r="Y15" s="16" t="n">
        <x:v>4</x:v>
      </x:c>
      <x:c r="Z15" s="16" t="str">
        <x:v>Retain for annual gauging/inspection as applicable.</x:v>
      </x:c>
      <x:c r="AA15" s="16" t="str"/>
      <x:c r="AB15" s="16" t="str"/>
      <x:c r="AC15" s="16" t="str">
        <x:v>Attachment 1A Table 1-A; AMR Tables 2-2 and 3-1</x:v>
      </x:c>
    </x:row>
    <x:row r="16" ht="45" customHeight="1">
      <x:c r="A16" s="16" t="str">
        <x:v>A39L014DP</x:v>
      </x:c>
      <x:c r="B16" s="16" t="str">
        <x:v>North Apron</x:v>
      </x:c>
      <x:c r="C16" s="16" t="str">
        <x:v>Intermediate</x:v>
      </x:c>
      <x:c r="D16" s="16" t="str">
        <x:v>A</x:v>
      </x:c>
      <x:c r="E16" s="16" t="str">
        <x:v>301070.93</x:v>
      </x:c>
      <x:c r="F16" s="16" t="str">
        <x:v>3269750.68</x:v>
      </x:c>
      <x:c r="G16" s="16" t="str">
        <x:v>NAD 1983 StatePlane Louisiana North FIPS 1701 Feet (US ft) - confirm with GIS</x:v>
      </x:c>
      <x:c r="H16" s="16" t="str">
        <x:v>40 - 50</x:v>
      </x:c>
      <x:c r="I16" s="16" t="str">
        <x:v>85.19</x:v>
      </x:c>
      <x:c r="J16" s="16" t="str">
        <x:v>74.69</x:v>
      </x:c>
      <x:c r="K16" s="16" t="str">
        <x:v>9/18/2025</x:v>
      </x:c>
      <x:c r="L16" s="16" t="str">
        <x:v>Y</x:v>
      </x:c>
      <x:c r="M16" s="16" t="str">
        <x:v>Y</x:v>
      </x:c>
      <x:c r="N16" s="16" t="str">
        <x:v>VOC + MNA</x:v>
      </x:c>
      <x:c r="O16" s="16" t="str">
        <x:v>Complete – duplicate collected</x:v>
      </x:c>
      <x:c r="P16" s="16" t="str">
        <x:v>2025-09-18 / A39L014DP_09182025; duplicate A39L014DP_09182025B</x:v>
      </x:c>
      <x:c r="Q16" s="16" t="str">
        <x:v>Y</x:v>
      </x:c>
      <x:c r="R16" s="16" t="str">
        <x:v>TCE</x:v>
      </x:c>
      <x:c r="S16" s="16" t="str">
        <x:v>TCE = 6.2 [5.8 duplicate]</x:v>
      </x:c>
      <x:c r="T16" s="16" t="str">
        <x:v>TCE = 5</x:v>
      </x:c>
      <x:c r="U16" s="16" t="n">
        <x:v>1.24</x:v>
      </x:c>
      <x:c r="V16" s="16" t="str">
        <x:v>TCE</x:v>
      </x:c>
      <x:c r="W16" s="16" t="n">
        <x:v>6.2</x:v>
      </x:c>
      <x:c r="X16" s="16" t="str">
        <x:v>TCE exceedance</x:v>
      </x:c>
      <x:c r="Y16" s="16" t="n">
        <x:v>2</x:v>
      </x:c>
      <x:c r="Z16" s="16" t="str">
        <x:v>Continue annual VOC + MNA monitoring for trend confirmation.</x:v>
      </x:c>
      <x:c r="AA16" s="16" t="str"/>
      <x:c r="AB16" s="16" t="str">
        <x:v>Duplicate collected; parent and duplicate both exceed BCT-CSL.</x:v>
      </x:c>
      <x:c r="AC16" s="16" t="str">
        <x:v>Attachment 1A Table 1-A; AMR Tables 2-2 and 3-1</x:v>
      </x:c>
    </x:row>
    <x:row r="17" ht="45" customHeight="1">
      <x:c r="A17" s="16" t="str">
        <x:v>A39L014PZ</x:v>
      </x:c>
      <x:c r="B17" s="16" t="str">
        <x:v>Context / confirm with GIS site-area layer</x:v>
      </x:c>
      <x:c r="C17" s="16" t="str">
        <x:v>Intermediate</x:v>
      </x:c>
      <x:c r="D17" s="16" t="str">
        <x:v>G</x:v>
      </x:c>
      <x:c r="E17" s="16" t="str">
        <x:v>298616.27</x:v>
      </x:c>
      <x:c r="F17" s="16" t="str">
        <x:v>3269451.23</x:v>
      </x:c>
      <x:c r="G17" s="16" t="str">
        <x:v>NAD 1983 StatePlane Louisiana North FIPS 1701 Feet (US ft) - confirm with GIS</x:v>
      </x:c>
      <x:c r="H17" s="16" t="str">
        <x:v>60 - 70</x:v>
      </x:c>
      <x:c r="I17" s="16" t="str">
        <x:v>86.23</x:v>
      </x:c>
      <x:c r="J17" s="16" t="str">
        <x:v>75.76</x:v>
      </x:c>
      <x:c r="K17" s="16" t="str">
        <x:v>10/1/2025</x:v>
      </x:c>
      <x:c r="L17" s="16" t="str">
        <x:v>N</x:v>
      </x:c>
      <x:c r="M17" s="16" t="str">
        <x:v>Y</x:v>
      </x:c>
      <x:c r="N17" s="16" t="str"/>
      <x:c r="O17" s="16" t="str">
        <x:v>Gauged/inspected only</x:v>
      </x:c>
      <x:c r="P17" s="16" t="str"/>
      <x:c r="Q17" s="16" t="str">
        <x:v>N</x:v>
      </x:c>
      <x:c r="R17" s="16" t="str"/>
      <x:c r="S17" s="16" t="str"/>
      <x:c r="T17" s="16" t="str"/>
      <x:c r="U17" s="16" t="str"/>
      <x:c r="V17" s="16" t="str"/>
      <x:c r="W17" s="16" t="str"/>
      <x:c r="X17" s="16" t="str">
        <x:v>Gauging/inspection only</x:v>
      </x:c>
      <x:c r="Y17" s="16" t="n">
        <x:v>4</x:v>
      </x:c>
      <x:c r="Z17" s="16" t="str">
        <x:v>Retain for annual gauging/inspection as applicable.</x:v>
      </x:c>
      <x:c r="AA17" s="16" t="str"/>
      <x:c r="AB17" s="16" t="str"/>
      <x:c r="AC17" s="16" t="str">
        <x:v>Attachment 1A Table 1-A; AMR Tables 2-2 and 3-1</x:v>
      </x:c>
    </x:row>
    <x:row r="18" ht="45" customHeight="1">
      <x:c r="A18" s="16" t="str">
        <x:v>A39L015PZ</x:v>
      </x:c>
      <x:c r="B18" s="16" t="str">
        <x:v>Context / confirm with GIS site-area layer</x:v>
      </x:c>
      <x:c r="C18" s="16" t="str">
        <x:v>Intermediate</x:v>
      </x:c>
      <x:c r="D18" s="16" t="str">
        <x:v>G</x:v>
      </x:c>
      <x:c r="E18" s="16" t="str">
        <x:v>300669.06</x:v>
      </x:c>
      <x:c r="F18" s="16" t="str">
        <x:v>3271990.76</x:v>
      </x:c>
      <x:c r="G18" s="16" t="str">
        <x:v>NAD 1983 StatePlane Louisiana North FIPS 1701 Feet (US ft) - confirm with GIS</x:v>
      </x:c>
      <x:c r="H18" s="16" t="str">
        <x:v>59 - 69</x:v>
      </x:c>
      <x:c r="I18" s="16" t="str">
        <x:v>84.01</x:v>
      </x:c>
      <x:c r="J18" s="16" t="str">
        <x:v>74.65</x:v>
      </x:c>
      <x:c r="K18" s="16" t="str">
        <x:v>9/20/2025</x:v>
      </x:c>
      <x:c r="L18" s="16" t="str">
        <x:v>N</x:v>
      </x:c>
      <x:c r="M18" s="16" t="str">
        <x:v>Y</x:v>
      </x:c>
      <x:c r="N18" s="16" t="str"/>
      <x:c r="O18" s="16" t="str">
        <x:v>Gauged/inspected only</x:v>
      </x:c>
      <x:c r="P18" s="16" t="str"/>
      <x:c r="Q18" s="16" t="str">
        <x:v>N</x:v>
      </x:c>
      <x:c r="R18" s="16" t="str"/>
      <x:c r="S18" s="16" t="str"/>
      <x:c r="T18" s="16" t="str"/>
      <x:c r="U18" s="16" t="str"/>
      <x:c r="V18" s="16" t="str"/>
      <x:c r="W18" s="16" t="str"/>
      <x:c r="X18" s="16" t="str">
        <x:v>Gauging/inspection only</x:v>
      </x:c>
      <x:c r="Y18" s="16" t="n">
        <x:v>4</x:v>
      </x:c>
      <x:c r="Z18" s="16" t="str">
        <x:v>Retain for annual gauging/inspection as applicable.</x:v>
      </x:c>
      <x:c r="AA18" s="16" t="str"/>
      <x:c r="AB18" s="16" t="str"/>
      <x:c r="AC18" s="16" t="str">
        <x:v>Attachment 1A Table 1-A; AMR Tables 2-2 and 3-1</x:v>
      </x:c>
    </x:row>
    <x:row r="19" ht="45" customHeight="1">
      <x:c r="A19" s="16" t="str">
        <x:v>A39L017PZ</x:v>
      </x:c>
      <x:c r="B19" s="16" t="str">
        <x:v>Context / confirm with GIS site-area layer</x:v>
      </x:c>
      <x:c r="C19" s="16" t="str">
        <x:v>Intermediate</x:v>
      </x:c>
      <x:c r="D19" s="16" t="str">
        <x:v>G</x:v>
      </x:c>
      <x:c r="E19" s="16" t="str">
        <x:v>299882.57</x:v>
      </x:c>
      <x:c r="F19" s="16" t="str">
        <x:v>3270254.89</x:v>
      </x:c>
      <x:c r="G19" s="16" t="str">
        <x:v>NAD 1983 StatePlane Louisiana North FIPS 1701 Feet (US ft) - confirm with GIS</x:v>
      </x:c>
      <x:c r="H19" s="16" t="str">
        <x:v>58 - 67.1</x:v>
      </x:c>
      <x:c r="I19" s="16" t="str">
        <x:v>85.46</x:v>
      </x:c>
      <x:c r="J19" s="16" t="str">
        <x:v>74.94</x:v>
      </x:c>
      <x:c r="K19" s="16" t="str">
        <x:v>9/20/2025</x:v>
      </x:c>
      <x:c r="L19" s="16" t="str">
        <x:v>N</x:v>
      </x:c>
      <x:c r="M19" s="16" t="str">
        <x:v>Y</x:v>
      </x:c>
      <x:c r="N19" s="16" t="str"/>
      <x:c r="O19" s="16" t="str">
        <x:v>Gauged/inspected only</x:v>
      </x:c>
      <x:c r="P19" s="16" t="str"/>
      <x:c r="Q19" s="16" t="str">
        <x:v>N</x:v>
      </x:c>
      <x:c r="R19" s="16" t="str"/>
      <x:c r="S19" s="16" t="str"/>
      <x:c r="T19" s="16" t="str"/>
      <x:c r="U19" s="16" t="str"/>
      <x:c r="V19" s="16" t="str"/>
      <x:c r="W19" s="16" t="str"/>
      <x:c r="X19" s="16" t="str">
        <x:v>Gauging/inspection only</x:v>
      </x:c>
      <x:c r="Y19" s="16" t="n">
        <x:v>4</x:v>
      </x:c>
      <x:c r="Z19" s="16" t="str">
        <x:v>Retain for annual gauging/inspection as applicable.</x:v>
      </x:c>
      <x:c r="AA19" s="16" t="str"/>
      <x:c r="AB19" s="16" t="str"/>
      <x:c r="AC19" s="16" t="str">
        <x:v>Attachment 1A Table 1-A; AMR Tables 2-2 and 3-1</x:v>
      </x:c>
    </x:row>
    <x:row r="20" ht="45" customHeight="1">
      <x:c r="A20" s="16" t="str">
        <x:v>A39L018PZ</x:v>
      </x:c>
      <x:c r="B20" s="16" t="str">
        <x:v>Context / confirm with GIS site-area layer</x:v>
      </x:c>
      <x:c r="C20" s="16" t="str">
        <x:v>Intermediate</x:v>
      </x:c>
      <x:c r="D20" s="16" t="str">
        <x:v>G</x:v>
      </x:c>
      <x:c r="E20" s="16" t="str">
        <x:v>299421.70</x:v>
      </x:c>
      <x:c r="F20" s="16" t="str">
        <x:v>3270366.92</x:v>
      </x:c>
      <x:c r="G20" s="16" t="str">
        <x:v>NAD 1983 StatePlane Louisiana North FIPS 1701 Feet (US ft) - confirm with GIS</x:v>
      </x:c>
      <x:c r="H20" s="16" t="str">
        <x:v>40 - 50</x:v>
      </x:c>
      <x:c r="I20" s="16" t="str">
        <x:v>78.74</x:v>
      </x:c>
      <x:c r="J20" s="16" t="str">
        <x:v>73.83</x:v>
      </x:c>
      <x:c r="K20" s="16" t="str">
        <x:v>9/20/2025</x:v>
      </x:c>
      <x:c r="L20" s="16" t="str">
        <x:v>N</x:v>
      </x:c>
      <x:c r="M20" s="16" t="str">
        <x:v>Y</x:v>
      </x:c>
      <x:c r="N20" s="16" t="str"/>
      <x:c r="O20" s="16" t="str">
        <x:v>Gauged/inspected only</x:v>
      </x:c>
      <x:c r="P20" s="16" t="str"/>
      <x:c r="Q20" s="16" t="str">
        <x:v>N</x:v>
      </x:c>
      <x:c r="R20" s="16" t="str"/>
      <x:c r="S20" s="16" t="str"/>
      <x:c r="T20" s="16" t="str"/>
      <x:c r="U20" s="16" t="str"/>
      <x:c r="V20" s="16" t="str"/>
      <x:c r="W20" s="16" t="str"/>
      <x:c r="X20" s="16" t="str">
        <x:v>Gauging/inspection only</x:v>
      </x:c>
      <x:c r="Y20" s="16" t="n">
        <x:v>4</x:v>
      </x:c>
      <x:c r="Z20" s="16" t="str">
        <x:v>Retain for annual gauging/inspection as applicable.</x:v>
      </x:c>
      <x:c r="AA20" s="16" t="str"/>
      <x:c r="AB20" s="16" t="str"/>
      <x:c r="AC20" s="16" t="str">
        <x:v>Attachment 1A Table 1-A; AMR Tables 2-2 and 3-1</x:v>
      </x:c>
    </x:row>
    <x:row r="21" ht="45" customHeight="1">
      <x:c r="A21" s="16" t="str">
        <x:v>A39L019PZ</x:v>
      </x:c>
      <x:c r="B21" s="16" t="str">
        <x:v>Le Tig Bayou</x:v>
      </x:c>
      <x:c r="C21" s="16" t="str">
        <x:v>Intermediate</x:v>
      </x:c>
      <x:c r="D21" s="16" t="str">
        <x:v>A</x:v>
      </x:c>
      <x:c r="E21" s="16" t="str">
        <x:v>299437.40</x:v>
      </x:c>
      <x:c r="F21" s="16" t="str">
        <x:v>3271153.19</x:v>
      </x:c>
      <x:c r="G21" s="16" t="str">
        <x:v>NAD 1983 StatePlane Louisiana North FIPS 1701 Feet (US ft) - confirm with GIS</x:v>
      </x:c>
      <x:c r="H21" s="16" t="str">
        <x:v>60 - 70</x:v>
      </x:c>
      <x:c r="I21" s="16" t="str">
        <x:v>87.84</x:v>
      </x:c>
      <x:c r="J21" s="16" t="str">
        <x:v>75.10</x:v>
      </x:c>
      <x:c r="K21" s="16" t="str">
        <x:v>9/17/2025</x:v>
      </x:c>
      <x:c r="L21" s="16" t="str">
        <x:v>Y</x:v>
      </x:c>
      <x:c r="M21" s="16" t="str">
        <x:v>Y</x:v>
      </x:c>
      <x:c r="N21" s="16" t="str">
        <x:v>VOC + MNA</x:v>
      </x:c>
      <x:c r="O21" s="16" t="str">
        <x:v>Complete</x:v>
      </x:c>
      <x:c r="P21" s="16" t="str">
        <x:v>2025-09-17 / A39L019PZ_09172025</x:v>
      </x:c>
      <x:c r="Q21" s="16" t="str">
        <x:v>N</x:v>
      </x:c>
      <x:c r="R21" s="16" t="str"/>
      <x:c r="S21" s="16" t="str"/>
      <x:c r="T21" s="16" t="str"/>
      <x:c r="U21" s="16" t="str"/>
      <x:c r="V21" s="16" t="str"/>
      <x:c r="W21" s="16" t="str"/>
      <x:c r="X21" s="16" t="str">
        <x:v>Sampled – no COC exceedance</x:v>
      </x:c>
      <x:c r="Y21" s="16" t="n">
        <x:v>3</x:v>
      </x:c>
      <x:c r="Z21" s="16" t="str">
        <x:v>Retain in optimized schedule; no escalation unless trend or exceedance trigger is identified.</x:v>
      </x:c>
      <x:c r="AA21" s="16" t="str"/>
      <x:c r="AB21" s="16" t="str"/>
      <x:c r="AC21" s="16" t="str">
        <x:v>Attachment 1A Table 1-A; AMR Tables 2-2 and 3-1</x:v>
      </x:c>
    </x:row>
    <x:row r="22" ht="45" customHeight="1">
      <x:c r="A22" s="16" t="str">
        <x:v>A39L036DPR2</x:v>
      </x:c>
      <x:c r="B22" s="16" t="str">
        <x:v>Tower</x:v>
      </x:c>
      <x:c r="C22" s="16" t="str">
        <x:v>Intermediate</x:v>
      </x:c>
      <x:c r="D22" s="16" t="str">
        <x:v>A</x:v>
      </x:c>
      <x:c r="E22" s="16" t="str">
        <x:v>299907.90</x:v>
      </x:c>
      <x:c r="F22" s="16" t="str">
        <x:v>3267996.11</x:v>
      </x:c>
      <x:c r="G22" s="16" t="str">
        <x:v>NAD 1983 StatePlane Louisiana North FIPS 1701 Feet (US ft) - confirm with GIS</x:v>
      </x:c>
      <x:c r="H22" s="16" t="str">
        <x:v>59 - 69</x:v>
      </x:c>
      <x:c r="I22" s="16" t="str">
        <x:v>88.97</x:v>
      </x:c>
      <x:c r="J22" s="16" t="str">
        <x:v>75.50</x:v>
      </x:c>
      <x:c r="K22" s="16" t="str">
        <x:v>9/16/2025</x:v>
      </x:c>
      <x:c r="L22" s="16" t="str">
        <x:v>Y</x:v>
      </x:c>
      <x:c r="M22" s="16" t="str">
        <x:v>Y</x:v>
      </x:c>
      <x:c r="N22" s="16" t="str">
        <x:v>VOC + MNA</x:v>
      </x:c>
      <x:c r="O22" s="16" t="str">
        <x:v>Complete</x:v>
      </x:c>
      <x:c r="P22" s="16" t="str">
        <x:v>2025-09-16 / A39L036DPR2_09162025</x:v>
      </x:c>
      <x:c r="Q22" s="16" t="str">
        <x:v>Y</x:v>
      </x:c>
      <x:c r="R22" s="16" t="str">
        <x:v>TCE</x:v>
      </x:c>
      <x:c r="S22" s="16" t="str">
        <x:v>TCE = 42.0</x:v>
      </x:c>
      <x:c r="T22" s="16" t="str">
        <x:v>TCE = 5</x:v>
      </x:c>
      <x:c r="U22" s="16" t="n">
        <x:v>8.4</x:v>
      </x:c>
      <x:c r="V22" s="16" t="str">
        <x:v>TCE</x:v>
      </x:c>
      <x:c r="W22" s="16" t="n">
        <x:v>42</x:v>
      </x:c>
      <x:c r="X22" s="16" t="str">
        <x:v>TCE exceedance</x:v>
      </x:c>
      <x:c r="Y22" s="16" t="n">
        <x:v>2</x:v>
      </x:c>
      <x:c r="Z22" s="16" t="str">
        <x:v>Continue annual VOC + MNA monitoring for trend confirmation.</x:v>
      </x:c>
      <x:c r="AA22" s="16" t="str"/>
      <x:c r="AB22" s="16" t="str">
        <x:v>No data-use limitation identified in preliminary table build.</x:v>
      </x:c>
      <x:c r="AC22" s="16" t="str">
        <x:v>Attachment 1A Table 1-A; AMR Tables 2-2 and 3-1</x:v>
      </x:c>
    </x:row>
    <x:row r="23" ht="45" customHeight="1">
      <x:c r="A23" s="16" t="str">
        <x:v>A39L039DP</x:v>
      </x:c>
      <x:c r="B23" s="16" t="str">
        <x:v>Tower</x:v>
      </x:c>
      <x:c r="C23" s="16" t="str">
        <x:v>Intermediate</x:v>
      </x:c>
      <x:c r="D23" s="16" t="str">
        <x:v>B</x:v>
      </x:c>
      <x:c r="E23" s="16" t="str">
        <x:v>300731.06</x:v>
      </x:c>
      <x:c r="F23" s="16" t="str">
        <x:v>3267299.84</x:v>
      </x:c>
      <x:c r="G23" s="16" t="str">
        <x:v>NAD 1983 StatePlane Louisiana North FIPS 1701 Feet (US ft) - confirm with GIS</x:v>
      </x:c>
      <x:c r="H23" s="16" t="str">
        <x:v>52.7 - 62.6</x:v>
      </x:c>
      <x:c r="I23" s="16" t="str">
        <x:v>82.31</x:v>
      </x:c>
      <x:c r="J23" s="16" t="str">
        <x:v>74.37</x:v>
      </x:c>
      <x:c r="K23" s="16" t="str">
        <x:v>10/7/2025</x:v>
      </x:c>
      <x:c r="L23" s="16" t="str">
        <x:v>Y</x:v>
      </x:c>
      <x:c r="M23" s="16" t="str">
        <x:v>Y</x:v>
      </x:c>
      <x:c r="N23" s="16" t="str">
        <x:v>VOC</x:v>
      </x:c>
      <x:c r="O23" s="16" t="str">
        <x:v>Complete</x:v>
      </x:c>
      <x:c r="P23" s="16" t="str">
        <x:v>2025-10-07 / A39L039DP_10072025</x:v>
      </x:c>
      <x:c r="Q23" s="16" t="str">
        <x:v>N</x:v>
      </x:c>
      <x:c r="R23" s="16" t="str"/>
      <x:c r="S23" s="16" t="str"/>
      <x:c r="T23" s="16" t="str"/>
      <x:c r="U23" s="16" t="str"/>
      <x:c r="V23" s="16" t="str"/>
      <x:c r="W23" s="16" t="str"/>
      <x:c r="X23" s="16" t="str">
        <x:v>Sampled – no COC exceedance</x:v>
      </x:c>
      <x:c r="Y23" s="16" t="n">
        <x:v>3</x:v>
      </x:c>
      <x:c r="Z23" s="16" t="str">
        <x:v>Retain in optimized schedule; no escalation unless trend or exceedance trigger is identified.</x:v>
      </x:c>
      <x:c r="AA23" s="16" t="str"/>
      <x:c r="AB23" s="16" t="str"/>
      <x:c r="AC23" s="16" t="str">
        <x:v>Attachment 1A Table 1-A; AMR Tables 2-2 and 3-1</x:v>
      </x:c>
    </x:row>
    <x:row r="24" ht="45" customHeight="1">
      <x:c r="A24" s="16" t="str">
        <x:v>A39L073DP</x:v>
      </x:c>
      <x:c r="B24" s="16" t="str">
        <x:v>Le Tig Bayou</x:v>
      </x:c>
      <x:c r="C24" s="16" t="str">
        <x:v>Intermediate</x:v>
      </x:c>
      <x:c r="D24" s="16" t="str">
        <x:v>A</x:v>
      </x:c>
      <x:c r="E24" s="16" t="str">
        <x:v>299269.23</x:v>
      </x:c>
      <x:c r="F24" s="16" t="str">
        <x:v>3272386.21</x:v>
      </x:c>
      <x:c r="G24" s="16" t="str">
        <x:v>NAD 1983 StatePlane Louisiana North FIPS 1701 Feet (US ft) - confirm with GIS</x:v>
      </x:c>
      <x:c r="H24" s="16" t="str">
        <x:v>63.7 - 73.6</x:v>
      </x:c>
      <x:c r="I24" s="16" t="str">
        <x:v>84.24</x:v>
      </x:c>
      <x:c r="J24" s="16" t="str">
        <x:v>74.94</x:v>
      </x:c>
      <x:c r="K24" s="16" t="str">
        <x:v>9/16/2025</x:v>
      </x:c>
      <x:c r="L24" s="16" t="str">
        <x:v>Y</x:v>
      </x:c>
      <x:c r="M24" s="16" t="str">
        <x:v>Y</x:v>
      </x:c>
      <x:c r="N24" s="16" t="str">
        <x:v>VOC + MNA</x:v>
      </x:c>
      <x:c r="O24" s="16" t="str">
        <x:v>Complete</x:v>
      </x:c>
      <x:c r="P24" s="16" t="str">
        <x:v>2025-09-16 / A39L073DP_09162025</x:v>
      </x:c>
      <x:c r="Q24" s="16" t="str">
        <x:v>N</x:v>
      </x:c>
      <x:c r="R24" s="16" t="str"/>
      <x:c r="S24" s="16" t="str"/>
      <x:c r="T24" s="16" t="str"/>
      <x:c r="U24" s="16" t="str"/>
      <x:c r="V24" s="16" t="str"/>
      <x:c r="W24" s="16" t="str"/>
      <x:c r="X24" s="16" t="str">
        <x:v>Sampled – no COC exceedance</x:v>
      </x:c>
      <x:c r="Y24" s="16" t="n">
        <x:v>3</x:v>
      </x:c>
      <x:c r="Z24" s="16" t="str">
        <x:v>Retain in optimized schedule; no escalation unless trend or exceedance trigger is identified.</x:v>
      </x:c>
      <x:c r="AA24" s="16" t="str"/>
      <x:c r="AB24" s="16" t="str"/>
      <x:c r="AC24" s="16" t="str">
        <x:v>Attachment 1A Table 1-A; AMR Tables 2-2 and 3-1</x:v>
      </x:c>
    </x:row>
    <x:row r="25" ht="45" customHeight="1">
      <x:c r="A25" s="16" t="str">
        <x:v>A39MW093</x:v>
      </x:c>
      <x:c r="B25" s="16" t="str">
        <x:v>North Apron</x:v>
      </x:c>
      <x:c r="C25" s="16" t="str">
        <x:v>Intermediate</x:v>
      </x:c>
      <x:c r="D25" s="16" t="str">
        <x:v>G</x:v>
      </x:c>
      <x:c r="E25" s="16" t="str">
        <x:v>301563.20</x:v>
      </x:c>
      <x:c r="F25" s="16" t="str">
        <x:v>3268938.72</x:v>
      </x:c>
      <x:c r="G25" s="16" t="str">
        <x:v>NAD 1983 StatePlane Louisiana North FIPS 1701 Feet (US ft) - confirm with GIS</x:v>
      </x:c>
      <x:c r="H25" s="16" t="str">
        <x:v>38 - 48</x:v>
      </x:c>
      <x:c r="I25" s="16" t="str">
        <x:v>84.21</x:v>
      </x:c>
      <x:c r="J25" s="16" t="str">
        <x:v>74.76</x:v>
      </x:c>
      <x:c r="K25" s="16" t="str">
        <x:v>10/6/2025</x:v>
      </x:c>
      <x:c r="L25" s="16" t="str">
        <x:v>Y</x:v>
      </x:c>
      <x:c r="M25" s="16" t="str">
        <x:v>Y</x:v>
      </x:c>
      <x:c r="N25" s="16" t="str">
        <x:v>VOC</x:v>
      </x:c>
      <x:c r="O25" s="16" t="str">
        <x:v>Complete</x:v>
      </x:c>
      <x:c r="P25" s="16" t="str">
        <x:v>2025-10-06 / A39MW093_06102025</x:v>
      </x:c>
      <x:c r="Q25" s="16" t="str">
        <x:v>N</x:v>
      </x:c>
      <x:c r="R25" s="16" t="str"/>
      <x:c r="S25" s="16" t="str"/>
      <x:c r="T25" s="16" t="str"/>
      <x:c r="U25" s="16" t="str"/>
      <x:c r="V25" s="16" t="str"/>
      <x:c r="W25" s="16" t="str"/>
      <x:c r="X25" s="16" t="str">
        <x:v>Sampled – no COC exceedance</x:v>
      </x:c>
      <x:c r="Y25" s="16" t="n">
        <x:v>3</x:v>
      </x:c>
      <x:c r="Z25" s="16" t="str">
        <x:v>Retain in optimized schedule; no escalation unless trend or exceedance trigger is identified.</x:v>
      </x:c>
      <x:c r="AA25" s="16" t="str">
        <x:v>Lab sample ID uses 06102025; interpret as October 6, 2025 based on SDG/date context.</x:v>
      </x:c>
      <x:c r="AB25" s="16" t="str"/>
      <x:c r="AC25" s="16" t="str">
        <x:v>Attachment 1A Table 1-A; AMR Tables 2-2 and 3-1</x:v>
      </x:c>
    </x:row>
    <x:row r="26" ht="45" customHeight="1">
      <x:c r="A26" s="16" t="str">
        <x:v>A39MW095</x:v>
      </x:c>
      <x:c r="B26" s="16" t="str">
        <x:v>North Apron</x:v>
      </x:c>
      <x:c r="C26" s="16" t="str">
        <x:v>Intermediate</x:v>
      </x:c>
      <x:c r="D26" s="16" t="str">
        <x:v>G</x:v>
      </x:c>
      <x:c r="E26" s="16" t="str">
        <x:v>302010.33</x:v>
      </x:c>
      <x:c r="F26" s="16" t="str">
        <x:v>3269621.50</x:v>
      </x:c>
      <x:c r="G26" s="16" t="str">
        <x:v>NAD 1983 StatePlane Louisiana North FIPS 1701 Feet (US ft) - confirm with GIS</x:v>
      </x:c>
      <x:c r="H26" s="16" t="str">
        <x:v>54.2 - 64.2</x:v>
      </x:c>
      <x:c r="I26" s="16" t="str">
        <x:v>84.52</x:v>
      </x:c>
      <x:c r="J26" s="16" t="str">
        <x:v>74.02</x:v>
      </x:c>
      <x:c r="K26" s="16" t="str">
        <x:v>10/6/2025</x:v>
      </x:c>
      <x:c r="L26" s="16" t="str">
        <x:v>Y</x:v>
      </x:c>
      <x:c r="M26" s="16" t="str">
        <x:v>Y</x:v>
      </x:c>
      <x:c r="N26" s="16" t="str">
        <x:v>VOC + MNA</x:v>
      </x:c>
      <x:c r="O26" s="16" t="str">
        <x:v>Complete</x:v>
      </x:c>
      <x:c r="P26" s="16" t="str">
        <x:v>2025-10-06 / A39MW095_06102025</x:v>
      </x:c>
      <x:c r="Q26" s="16" t="str">
        <x:v>Y</x:v>
      </x:c>
      <x:c r="R26" s="16" t="str">
        <x:v>VC</x:v>
      </x:c>
      <x:c r="S26" s="16" t="str">
        <x:v>VC = 3.6</x:v>
      </x:c>
      <x:c r="T26" s="16" t="str">
        <x:v>VC = 2</x:v>
      </x:c>
      <x:c r="U26" s="16" t="n">
        <x:v>1.8</x:v>
      </x:c>
      <x:c r="V26" s="16" t="str">
        <x:v>VC</x:v>
      </x:c>
      <x:c r="W26" s="16" t="n">
        <x:v>3.6</x:v>
      </x:c>
      <x:c r="X26" s="16" t="str">
        <x:v>VC exceedance</x:v>
      </x:c>
      <x:c r="Y26" s="16" t="n">
        <x:v>2</x:v>
      </x:c>
      <x:c r="Z26" s="16" t="str">
        <x:v>Continue annual VOC + MNA monitoring for trend confirmation.</x:v>
      </x:c>
      <x:c r="AA26" s="16" t="str">
        <x:v>Lab sample ID uses 06102025; interpret as October 6, 2025 based on SDG/date context.</x:v>
      </x:c>
      <x:c r="AB26" s="16" t="str">
        <x:v>Laboratory sample ID date code shows 06102025; field date was October 6, 2025.</x:v>
      </x:c>
      <x:c r="AC26" s="16" t="str">
        <x:v>Attachment 1A Table 1-A; AMR Tables 2-2 and 3-1</x:v>
      </x:c>
    </x:row>
    <x:row r="27" ht="45" customHeight="1">
      <x:c r="A27" s="16" t="str">
        <x:v>A39MW096</x:v>
      </x:c>
      <x:c r="B27" s="16" t="str">
        <x:v>North Apron</x:v>
      </x:c>
      <x:c r="C27" s="16" t="str">
        <x:v>Intermediate</x:v>
      </x:c>
      <x:c r="D27" s="16" t="str">
        <x:v>A</x:v>
      </x:c>
      <x:c r="E27" s="16" t="str">
        <x:v>302318.95</x:v>
      </x:c>
      <x:c r="F27" s="16" t="str">
        <x:v>3269765.90</x:v>
      </x:c>
      <x:c r="G27" s="16" t="str">
        <x:v>NAD 1983 StatePlane Louisiana North FIPS 1701 Feet (US ft) - confirm with GIS</x:v>
      </x:c>
      <x:c r="H27" s="16" t="str">
        <x:v>60 - 70</x:v>
      </x:c>
      <x:c r="I27" s="16" t="str">
        <x:v>82.41</x:v>
      </x:c>
      <x:c r="J27" s="16" t="str">
        <x:v>73.57</x:v>
      </x:c>
      <x:c r="K27" s="16" t="str">
        <x:v>9/17/2025</x:v>
      </x:c>
      <x:c r="L27" s="16" t="str">
        <x:v>Y</x:v>
      </x:c>
      <x:c r="M27" s="16" t="str">
        <x:v>Y</x:v>
      </x:c>
      <x:c r="N27" s="16" t="str">
        <x:v>VOC</x:v>
      </x:c>
      <x:c r="O27" s="16" t="str">
        <x:v>Complete</x:v>
      </x:c>
      <x:c r="P27" s="16" t="str">
        <x:v>2025-09-17 / A39MW096_09172025</x:v>
      </x:c>
      <x:c r="Q27" s="16" t="str">
        <x:v>N</x:v>
      </x:c>
      <x:c r="R27" s="16" t="str"/>
      <x:c r="S27" s="16" t="str"/>
      <x:c r="T27" s="16" t="str"/>
      <x:c r="U27" s="16" t="str"/>
      <x:c r="V27" s="16" t="str"/>
      <x:c r="W27" s="16" t="str"/>
      <x:c r="X27" s="16" t="str">
        <x:v>Sampled – no COC exceedance</x:v>
      </x:c>
      <x:c r="Y27" s="16" t="n">
        <x:v>3</x:v>
      </x:c>
      <x:c r="Z27" s="16" t="str">
        <x:v>Retain in optimized schedule; no escalation unless trend or exceedance trigger is identified.</x:v>
      </x:c>
      <x:c r="AA27" s="16" t="str"/>
      <x:c r="AB27" s="16" t="str"/>
      <x:c r="AC27" s="16" t="str">
        <x:v>Attachment 1A Table 1-A; AMR Tables 2-2 and 3-1</x:v>
      </x:c>
    </x:row>
    <x:row r="28" ht="45" customHeight="1">
      <x:c r="A28" s="16" t="str">
        <x:v>A39MW097</x:v>
      </x:c>
      <x:c r="B28" s="16" t="str">
        <x:v>North Apron</x:v>
      </x:c>
      <x:c r="C28" s="16" t="str">
        <x:v>Intermediate</x:v>
      </x:c>
      <x:c r="D28" s="16" t="str">
        <x:v>A</x:v>
      </x:c>
      <x:c r="E28" s="16" t="str">
        <x:v>302076.25</x:v>
      </x:c>
      <x:c r="F28" s="16" t="str">
        <x:v>3269909.73</x:v>
      </x:c>
      <x:c r="G28" s="16" t="str">
        <x:v>NAD 1983 StatePlane Louisiana North FIPS 1701 Feet (US ft) - confirm with GIS</x:v>
      </x:c>
      <x:c r="H28" s="16" t="str">
        <x:v>54.7 - 64.7</x:v>
      </x:c>
      <x:c r="I28" s="16" t="str">
        <x:v>83.60</x:v>
      </x:c>
      <x:c r="J28" s="16" t="str"/>
      <x:c r="K28" s="16" t="str"/>
      <x:c r="L28" s="16" t="str">
        <x:v>N</x:v>
      </x:c>
      <x:c r="M28" s="16" t="str">
        <x:v>N</x:v>
      </x:c>
      <x:c r="N28" s="16" t="str">
        <x:v>VOC</x:v>
      </x:c>
      <x:c r="O28" s="16" t="str">
        <x:v>Field exception – not found</x:v>
      </x:c>
      <x:c r="P28" s="16" t="str">
        <x:v>Not sampled</x:v>
      </x:c>
      <x:c r="Q28" s="16" t="str">
        <x:v>N</x:v>
      </x:c>
      <x:c r="R28" s="16" t="str"/>
      <x:c r="S28" s="16" t="str"/>
      <x:c r="T28" s="16" t="str"/>
      <x:c r="U28" s="16" t="str"/>
      <x:c r="V28" s="16" t="str"/>
      <x:c r="W28" s="16" t="str"/>
      <x:c r="X28" s="16" t="str">
        <x:v>Field exception / not found</x:v>
      </x:c>
      <x:c r="Y28" s="16" t="n">
        <x:v>1</x:v>
      </x:c>
      <x:c r="Z28" s="16" t="str">
        <x:v>Attempt to locate/verify status before or during 2026 RA-O; sample for VOCs if located.</x:v>
      </x:c>
      <x:c r="AA28" s="16" t="str">
        <x:v>Expected sample location; not located during 2025 monitoring well inspection activities.</x:v>
      </x:c>
      <x:c r="AB28" s="16" t="str"/>
      <x:c r="AC28" s="16" t="str">
        <x:v>Attachment 1A Table 1-A; AMR Tables 2-2 and 3-1</x:v>
      </x:c>
    </x:row>
    <x:row r="29" ht="45" customHeight="1">
      <x:c r="A29" s="16" t="str">
        <x:v>A39MW098</x:v>
      </x:c>
      <x:c r="B29" s="16" t="str">
        <x:v>North Apron</x:v>
      </x:c>
      <x:c r="C29" s="16" t="str">
        <x:v>Intermediate</x:v>
      </x:c>
      <x:c r="D29" s="16" t="str">
        <x:v>A</x:v>
      </x:c>
      <x:c r="E29" s="16" t="str">
        <x:v>301773.61</x:v>
      </x:c>
      <x:c r="F29" s="16" t="str">
        <x:v>3269790.92</x:v>
      </x:c>
      <x:c r="G29" s="16" t="str">
        <x:v>NAD 1983 StatePlane Louisiana North FIPS 1701 Feet (US ft) - confirm with GIS</x:v>
      </x:c>
      <x:c r="H29" s="16" t="str">
        <x:v>54.5 - 64.5</x:v>
      </x:c>
      <x:c r="I29" s="16" t="str">
        <x:v>84.18</x:v>
      </x:c>
      <x:c r="J29" s="16" t="str">
        <x:v>73.24</x:v>
      </x:c>
      <x:c r="K29" s="16" t="str">
        <x:v>10/7/2025</x:v>
      </x:c>
      <x:c r="L29" s="16" t="str">
        <x:v>Y</x:v>
      </x:c>
      <x:c r="M29" s="16" t="str">
        <x:v>Y</x:v>
      </x:c>
      <x:c r="N29" s="16" t="str">
        <x:v>VOC</x:v>
      </x:c>
      <x:c r="O29" s="16" t="str">
        <x:v>Complete</x:v>
      </x:c>
      <x:c r="P29" s="16" t="str">
        <x:v>2025-10-07 / A39MW098_10072025</x:v>
      </x:c>
      <x:c r="Q29" s="16" t="str">
        <x:v>N</x:v>
      </x:c>
      <x:c r="R29" s="16" t="str"/>
      <x:c r="S29" s="16" t="str"/>
      <x:c r="T29" s="16" t="str"/>
      <x:c r="U29" s="16" t="str"/>
      <x:c r="V29" s="16" t="str"/>
      <x:c r="W29" s="16" t="str"/>
      <x:c r="X29" s="16" t="str">
        <x:v>Sampled – no COC exceedance</x:v>
      </x:c>
      <x:c r="Y29" s="16" t="n">
        <x:v>3</x:v>
      </x:c>
      <x:c r="Z29" s="16" t="str">
        <x:v>Retain in optimized schedule; no escalation unless trend or exceedance trigger is identified.</x:v>
      </x:c>
      <x:c r="AA29" s="16" t="str"/>
      <x:c r="AB29" s="16" t="str"/>
      <x:c r="AC29" s="16" t="str">
        <x:v>Attachment 1A Table 1-A; AMR Tables 2-2 and 3-1</x:v>
      </x:c>
    </x:row>
    <x:row r="30" ht="45" customHeight="1">
      <x:c r="A30" s="16" t="str">
        <x:v>BH01MW01</x:v>
      </x:c>
      <x:c r="B30" s="16" t="str">
        <x:v>Central/BH-01</x:v>
      </x:c>
      <x:c r="C30" s="16" t="str">
        <x:v>Intermediate</x:v>
      </x:c>
      <x:c r="D30" s="16" t="str">
        <x:v>G</x:v>
      </x:c>
      <x:c r="E30" s="16" t="str">
        <x:v>299135.27</x:v>
      </x:c>
      <x:c r="F30" s="16" t="str">
        <x:v>3270061.50</x:v>
      </x:c>
      <x:c r="G30" s="16" t="str">
        <x:v>NAD 1983 StatePlane Louisiana North FIPS 1701 Feet (US ft) - confirm with GIS</x:v>
      </x:c>
      <x:c r="H30" s="16" t="str">
        <x:v>39.5 - 49.5</x:v>
      </x:c>
      <x:c r="I30" s="16" t="str">
        <x:v>87.99</x:v>
      </x:c>
      <x:c r="J30" s="16" t="str">
        <x:v>75.66</x:v>
      </x:c>
      <x:c r="K30" s="16" t="str">
        <x:v>9/17/2025</x:v>
      </x:c>
      <x:c r="L30" s="16" t="str">
        <x:v>Y</x:v>
      </x:c>
      <x:c r="M30" s="16" t="str">
        <x:v>Y</x:v>
      </x:c>
      <x:c r="N30" s="16" t="str">
        <x:v>VOC</x:v>
      </x:c>
      <x:c r="O30" s="16" t="str">
        <x:v>Complete</x:v>
      </x:c>
      <x:c r="P30" s="16" t="str">
        <x:v>2025-09-17 / BH01MW01_09172025</x:v>
      </x:c>
      <x:c r="Q30" s="16" t="str">
        <x:v>N</x:v>
      </x:c>
      <x:c r="R30" s="16" t="str"/>
      <x:c r="S30" s="16" t="str"/>
      <x:c r="T30" s="16" t="str"/>
      <x:c r="U30" s="16" t="str"/>
      <x:c r="V30" s="16" t="str"/>
      <x:c r="W30" s="16" t="str"/>
      <x:c r="X30" s="16" t="str">
        <x:v>Sampled – no COC exceedance</x:v>
      </x:c>
      <x:c r="Y30" s="16" t="n">
        <x:v>3</x:v>
      </x:c>
      <x:c r="Z30" s="16" t="str">
        <x:v>Retain in optimized schedule; no escalation unless trend or exceedance trigger is identified.</x:v>
      </x:c>
      <x:c r="AA30" s="16" t="str">
        <x:v>BH-01 targeted COC suite should be verified against final analytical summary table.</x:v>
      </x:c>
      <x:c r="AB30" s="16" t="str"/>
      <x:c r="AC30" s="16" t="str">
        <x:v>Attachment 1A Table 1-A; AMR Tables 2-2 and 3-1</x:v>
      </x:c>
    </x:row>
    <x:row r="31" ht="45" customHeight="1">
      <x:c r="A31" s="16" t="str">
        <x:v>BH01MW03</x:v>
      </x:c>
      <x:c r="B31" s="16" t="str">
        <x:v>Central/BH-01</x:v>
      </x:c>
      <x:c r="C31" s="16" t="str">
        <x:v>Intermediate</x:v>
      </x:c>
      <x:c r="D31" s="16" t="str">
        <x:v>G</x:v>
      </x:c>
      <x:c r="E31" s="16" t="str">
        <x:v>299117.20</x:v>
      </x:c>
      <x:c r="F31" s="16" t="str">
        <x:v>3270216.64</x:v>
      </x:c>
      <x:c r="G31" s="16" t="str">
        <x:v>NAD 1983 StatePlane Louisiana North FIPS 1701 Feet (US ft) - confirm with GIS</x:v>
      </x:c>
      <x:c r="H31" s="16" t="str">
        <x:v>39.4 - 49.4</x:v>
      </x:c>
      <x:c r="I31" s="16" t="str">
        <x:v>81.01</x:v>
      </x:c>
      <x:c r="J31" s="16" t="str">
        <x:v>75.29</x:v>
      </x:c>
      <x:c r="K31" s="16" t="str">
        <x:v>9/17/2025</x:v>
      </x:c>
      <x:c r="L31" s="16" t="str">
        <x:v>Y</x:v>
      </x:c>
      <x:c r="M31" s="16" t="str">
        <x:v>Y</x:v>
      </x:c>
      <x:c r="N31" s="16" t="str">
        <x:v>VOC + MNA</x:v>
      </x:c>
      <x:c r="O31" s="16" t="str">
        <x:v>Complete</x:v>
      </x:c>
      <x:c r="P31" s="16" t="str">
        <x:v>2025-09-17 / BH01MW03_09172025</x:v>
      </x:c>
      <x:c r="Q31" s="16" t="str">
        <x:v>N</x:v>
      </x:c>
      <x:c r="R31" s="16" t="str"/>
      <x:c r="S31" s="16" t="str"/>
      <x:c r="T31" s="16" t="str"/>
      <x:c r="U31" s="16" t="str"/>
      <x:c r="V31" s="16" t="str"/>
      <x:c r="W31" s="16" t="str"/>
      <x:c r="X31" s="16" t="str">
        <x:v>Sampled – no COC exceedance</x:v>
      </x:c>
      <x:c r="Y31" s="16" t="n">
        <x:v>3</x:v>
      </x:c>
      <x:c r="Z31" s="16" t="str">
        <x:v>Retain in optimized schedule; no escalation unless trend or exceedance trigger is identified.</x:v>
      </x:c>
      <x:c r="AA31" s="16" t="str">
        <x:v>BH-01 targeted COC suite should be verified against final analytical summary table.</x:v>
      </x:c>
      <x:c r="AB31" s="16" t="str"/>
      <x:c r="AC31" s="16" t="str">
        <x:v>Attachment 1A Table 1-A; AMR Tables 2-2 and 3-1</x:v>
      </x:c>
    </x:row>
    <x:row r="32" ht="45" customHeight="1">
      <x:c r="A32" s="16" t="str">
        <x:v>BH01MW05</x:v>
      </x:c>
      <x:c r="B32" s="16" t="str">
        <x:v>Central/BH-01</x:v>
      </x:c>
      <x:c r="C32" s="16" t="str">
        <x:v>Intermediate</x:v>
      </x:c>
      <x:c r="D32" s="16" t="str">
        <x:v>G</x:v>
      </x:c>
      <x:c r="E32" s="16" t="str">
        <x:v>299211.92</x:v>
      </x:c>
      <x:c r="F32" s="16" t="str">
        <x:v>3270283.75</x:v>
      </x:c>
      <x:c r="G32" s="16" t="str">
        <x:v>NAD 1983 StatePlane Louisiana North FIPS 1701 Feet (US ft) - confirm with GIS</x:v>
      </x:c>
      <x:c r="H32" s="16" t="str">
        <x:v>39.6 - 49.6</x:v>
      </x:c>
      <x:c r="I32" s="16" t="str">
        <x:v>78.74</x:v>
      </x:c>
      <x:c r="J32" s="16" t="str">
        <x:v>75.48</x:v>
      </x:c>
      <x:c r="K32" s="16" t="str">
        <x:v>9/17/2025</x:v>
      </x:c>
      <x:c r="L32" s="16" t="str">
        <x:v>Y</x:v>
      </x:c>
      <x:c r="M32" s="16" t="str">
        <x:v>Y</x:v>
      </x:c>
      <x:c r="N32" s="16" t="str">
        <x:v>VOC + MNA</x:v>
      </x:c>
      <x:c r="O32" s="16" t="str">
        <x:v>Complete</x:v>
      </x:c>
      <x:c r="P32" s="16" t="str">
        <x:v>2025-09-17 / BH01MW05_09172025</x:v>
      </x:c>
      <x:c r="Q32" s="16" t="str">
        <x:v>N</x:v>
      </x:c>
      <x:c r="R32" s="16" t="str"/>
      <x:c r="S32" s="16" t="str"/>
      <x:c r="T32" s="16" t="str"/>
      <x:c r="U32" s="16" t="str"/>
      <x:c r="V32" s="16" t="str"/>
      <x:c r="W32" s="16" t="str"/>
      <x:c r="X32" s="16" t="str">
        <x:v>Sampled – no COC exceedance</x:v>
      </x:c>
      <x:c r="Y32" s="16" t="n">
        <x:v>3</x:v>
      </x:c>
      <x:c r="Z32" s="16" t="str">
        <x:v>Retain in optimized schedule; no escalation unless trend or exceedance trigger is identified.</x:v>
      </x:c>
      <x:c r="AA32" s="16" t="str">
        <x:v>BH-01 targeted COC suite should be verified against final analytical summary table.</x:v>
      </x:c>
      <x:c r="AB32" s="16" t="str"/>
      <x:c r="AC32" s="16" t="str">
        <x:v>Attachment 1A Table 1-A; AMR Tables 2-2 and 3-1</x:v>
      </x:c>
    </x:row>
    <x:row r="33" ht="45" customHeight="1">
      <x:c r="A33" s="16" t="str">
        <x:v>SS45L001MW</x:v>
      </x:c>
      <x:c r="B33" s="16" t="str">
        <x:v>North Apron</x:v>
      </x:c>
      <x:c r="C33" s="16" t="str">
        <x:v>Intermediate</x:v>
      </x:c>
      <x:c r="D33" s="16" t="str">
        <x:v>A</x:v>
      </x:c>
      <x:c r="E33" s="16" t="str">
        <x:v>300887.79</x:v>
      </x:c>
      <x:c r="F33" s="16" t="str">
        <x:v>3268800.32</x:v>
      </x:c>
      <x:c r="G33" s="16" t="str">
        <x:v>NAD 1983 StatePlane Louisiana North FIPS 1701 Feet (US ft) - confirm with GIS</x:v>
      </x:c>
      <x:c r="H33" s="16" t="str">
        <x:v>54 - 64</x:v>
      </x:c>
      <x:c r="I33" s="16" t="str">
        <x:v>83.25</x:v>
      </x:c>
      <x:c r="J33" s="16" t="str">
        <x:v>75.45</x:v>
      </x:c>
      <x:c r="K33" s="16" t="str">
        <x:v>10/6/2025</x:v>
      </x:c>
      <x:c r="L33" s="16" t="str">
        <x:v>Y</x:v>
      </x:c>
      <x:c r="M33" s="16" t="str">
        <x:v>Y</x:v>
      </x:c>
      <x:c r="N33" s="16" t="str">
        <x:v>VOC + MNA</x:v>
      </x:c>
      <x:c r="O33" s="16" t="str">
        <x:v>Complete – sample ID reconciliation note</x:v>
      </x:c>
      <x:c r="P33" s="16" t="str">
        <x:v>2025-10-06 / SS45L001MW_06102025; additional lab sample ID SS45L001MW_10072025</x:v>
      </x:c>
      <x:c r="Q33" s="16" t="str">
        <x:v>Y</x:v>
      </x:c>
      <x:c r="R33" s="16" t="str">
        <x:v>VC</x:v>
      </x:c>
      <x:c r="S33" s="16" t="str">
        <x:v>VC = 3.5 [10/06]; VC = 3.3 [10/07]</x:v>
      </x:c>
      <x:c r="T33" s="16" t="str">
        <x:v>VC = 2</x:v>
      </x:c>
      <x:c r="U33" s="16" t="n">
        <x:v>5</x:v>
      </x:c>
      <x:c r="V33" s="16" t="str">
        <x:v>VC</x:v>
      </x:c>
      <x:c r="W33" s="16" t="n">
        <x:v>10</x:v>
      </x:c>
      <x:c r="X33" s="16" t="str">
        <x:v>VC exceedance</x:v>
      </x:c>
      <x:c r="Y33" s="16" t="n">
        <x:v>2</x:v>
      </x:c>
      <x:c r="Z33" s="16" t="str">
        <x:v>Continue annual VOC + MNA monitoring for trend confirmation.</x:v>
      </x:c>
      <x:c r="AA33" s="16" t="str">
        <x:v>Confirm final primary sample/result selection in Table 3-1 or final analytical summary.</x:v>
      </x:c>
      <x:c r="AB33" s="16" t="str">
        <x:v>Two 2025 result records; reconcile sample purpose in final table notes.</x:v>
      </x:c>
      <x:c r="AC33" s="16" t="str">
        <x:v>Attachment 1A Table 1-A; AMR Tables 2-2 and 3-1</x:v>
      </x:c>
    </x:row>
    <x:row r="34" ht="45" customHeight="1">
      <x:c r="A34" s="16" t="str">
        <x:v>SS45L005MW</x:v>
      </x:c>
      <x:c r="B34" s="16" t="str">
        <x:v>Context / confirm with GIS site-area layer</x:v>
      </x:c>
      <x:c r="C34" s="16" t="str">
        <x:v>Intermediate</x:v>
      </x:c>
      <x:c r="D34" s="16" t="str">
        <x:v>G</x:v>
      </x:c>
      <x:c r="E34" s="16" t="str">
        <x:v>299647.82</x:v>
      </x:c>
      <x:c r="F34" s="16" t="str">
        <x:v>3269138.15</x:v>
      </x:c>
      <x:c r="G34" s="16" t="str">
        <x:v>NAD 1983 StatePlane Louisiana North FIPS 1701 Feet (US ft) - confirm with GIS</x:v>
      </x:c>
      <x:c r="H34" s="16" t="str">
        <x:v>56 - 66</x:v>
      </x:c>
      <x:c r="I34" s="16" t="str">
        <x:v>85.25</x:v>
      </x:c>
      <x:c r="J34" s="16" t="str">
        <x:v>75.01</x:v>
      </x:c>
      <x:c r="K34" s="16" t="str">
        <x:v>9/22/2025</x:v>
      </x:c>
      <x:c r="L34" s="16" t="str">
        <x:v>N</x:v>
      </x:c>
      <x:c r="M34" s="16" t="str">
        <x:v>Y</x:v>
      </x:c>
      <x:c r="N34" s="16" t="str"/>
      <x:c r="O34" s="16" t="str">
        <x:v>Gauged/inspected only</x:v>
      </x:c>
      <x:c r="P34" s="16" t="str"/>
      <x:c r="Q34" s="16" t="str">
        <x:v>N</x:v>
      </x:c>
      <x:c r="R34" s="16" t="str"/>
      <x:c r="S34" s="16" t="str"/>
      <x:c r="T34" s="16" t="str"/>
      <x:c r="U34" s="16" t="str"/>
      <x:c r="V34" s="16" t="str"/>
      <x:c r="W34" s="16" t="str"/>
      <x:c r="X34" s="16" t="str">
        <x:v>Gauging/inspection only</x:v>
      </x:c>
      <x:c r="Y34" s="16" t="n">
        <x:v>4</x:v>
      </x:c>
      <x:c r="Z34" s="16" t="str">
        <x:v>Retain for annual gauging/inspection as applicable.</x:v>
      </x:c>
      <x:c r="AA34" s="16" t="str"/>
      <x:c r="AB34" s="16" t="str"/>
      <x:c r="AC34" s="16" t="str">
        <x:v>Attachment 1A Table 1-A; AMR Tables 2-2 and 3-1</x:v>
      </x:c>
    </x:row>
    <x:row r="35" ht="45" customHeight="1">
      <x:c r="A35" s="16" t="str">
        <x:v>SS45L006MW</x:v>
      </x:c>
      <x:c r="B35" s="16" t="str">
        <x:v>Le Tig Bayou</x:v>
      </x:c>
      <x:c r="C35" s="16" t="str">
        <x:v>Intermediate</x:v>
      </x:c>
      <x:c r="D35" s="16" t="str">
        <x:v>G</x:v>
      </x:c>
      <x:c r="E35" s="16" t="str">
        <x:v>297424.17</x:v>
      </x:c>
      <x:c r="F35" s="16" t="str">
        <x:v>3272747.59</x:v>
      </x:c>
      <x:c r="G35" s="16" t="str">
        <x:v>NAD 1983 StatePlane Louisiana North FIPS 1701 Feet (US ft) - confirm with GIS</x:v>
      </x:c>
      <x:c r="H35" s="16" t="str">
        <x:v>57 - 67</x:v>
      </x:c>
      <x:c r="I35" s="16" t="str">
        <x:v>87.77</x:v>
      </x:c>
      <x:c r="J35" s="16" t="str">
        <x:v>74.05</x:v>
      </x:c>
      <x:c r="K35" s="16" t="str">
        <x:v>9/17/2025</x:v>
      </x:c>
      <x:c r="L35" s="16" t="str">
        <x:v>Y</x:v>
      </x:c>
      <x:c r="M35" s="16" t="str">
        <x:v>Y</x:v>
      </x:c>
      <x:c r="N35" s="16" t="str">
        <x:v>VOC</x:v>
      </x:c>
      <x:c r="O35" s="16" t="str">
        <x:v>Complete</x:v>
      </x:c>
      <x:c r="P35" s="16" t="str">
        <x:v>2025-09-17 / SS45L006MW_09172025</x:v>
      </x:c>
      <x:c r="Q35" s="16" t="str">
        <x:v>N</x:v>
      </x:c>
      <x:c r="R35" s="16" t="str"/>
      <x:c r="S35" s="16" t="str"/>
      <x:c r="T35" s="16" t="str"/>
      <x:c r="U35" s="16" t="str"/>
      <x:c r="V35" s="16" t="str"/>
      <x:c r="W35" s="16" t="str"/>
      <x:c r="X35" s="16" t="str">
        <x:v>Sampled – no COC exceedance</x:v>
      </x:c>
      <x:c r="Y35" s="16" t="n">
        <x:v>3</x:v>
      </x:c>
      <x:c r="Z35" s="16" t="str">
        <x:v>Retain in optimized schedule; no escalation unless trend or exceedance trigger is identified.</x:v>
      </x:c>
      <x:c r="AA35" s="16" t="str"/>
      <x:c r="AB35" s="16" t="str"/>
      <x:c r="AC35" s="16" t="str">
        <x:v>Attachment 1A Table 1-A; AMR Tables 2-2 and 3-1</x:v>
      </x:c>
    </x:row>
    <x:row r="36" ht="45" customHeight="1">
      <x:c r="A36" s="16" t="str">
        <x:v>Well #3</x:v>
      </x:c>
      <x:c r="B36" s="16" t="str">
        <x:v>Le Tig Bayou</x:v>
      </x:c>
      <x:c r="C36" s="16" t="str">
        <x:v>Intermediate</x:v>
      </x:c>
      <x:c r="D36" s="16" t="str">
        <x:v>B</x:v>
      </x:c>
      <x:c r="E36" s="16" t="str">
        <x:v>299693.44</x:v>
      </x:c>
      <x:c r="F36" s="16" t="str">
        <x:v>3271604.53</x:v>
      </x:c>
      <x:c r="G36" s="16" t="str">
        <x:v>NAD 1983 StatePlane Louisiana North FIPS 1701 Feet (US ft) - confirm with GIS</x:v>
      </x:c>
      <x:c r="H36" s="16" t="str">
        <x:v>65 - 74.5</x:v>
      </x:c>
      <x:c r="I36" s="16" t="str">
        <x:v>88.58</x:v>
      </x:c>
      <x:c r="J36" s="16" t="str">
        <x:v>74.85</x:v>
      </x:c>
      <x:c r="K36" s="16" t="str">
        <x:v>9/17/2025</x:v>
      </x:c>
      <x:c r="L36" s="16" t="str">
        <x:v>Y</x:v>
      </x:c>
      <x:c r="M36" s="16" t="str">
        <x:v>Y</x:v>
      </x:c>
      <x:c r="N36" s="16" t="str">
        <x:v>VOC</x:v>
      </x:c>
      <x:c r="O36" s="16" t="str">
        <x:v>Complete</x:v>
      </x:c>
      <x:c r="P36" s="16" t="str">
        <x:v>2025-09-17 / WELL 3_09172025</x:v>
      </x:c>
      <x:c r="Q36" s="16" t="str">
        <x:v>N</x:v>
      </x:c>
      <x:c r="R36" s="16" t="str"/>
      <x:c r="S36" s="16" t="str"/>
      <x:c r="T36" s="16" t="str"/>
      <x:c r="U36" s="16" t="str"/>
      <x:c r="V36" s="16" t="str"/>
      <x:c r="W36" s="16" t="str"/>
      <x:c r="X36" s="16" t="str">
        <x:v>Sampled – no COC exceedance</x:v>
      </x:c>
      <x:c r="Y36" s="16" t="n">
        <x:v>3</x:v>
      </x:c>
      <x:c r="Z36" s="16" t="str">
        <x:v>Retain in optimized schedule; no escalation unless trend or exceedance trigger is identified.</x:v>
      </x:c>
      <x:c r="AA36" s="16" t="str"/>
      <x:c r="AB36" s="16" t="str"/>
      <x:c r="AC36" s="16" t="str">
        <x:v>Attachment 1A Table 1-A; AMR Tables 2-2 and 3-1</x:v>
      </x:c>
    </x:row>
    <x:row r="37" ht="45" customHeight="1">
      <x:c r="A37" s="16" t="str">
        <x:v>Well #4</x:v>
      </x:c>
      <x:c r="B37" s="16" t="str">
        <x:v>Context / confirm with GIS site-area layer</x:v>
      </x:c>
      <x:c r="C37" s="16" t="str">
        <x:v>Intermediate</x:v>
      </x:c>
      <x:c r="D37" s="16" t="str">
        <x:v>G</x:v>
      </x:c>
      <x:c r="E37" s="16" t="str">
        <x:v>299228.07</x:v>
      </x:c>
      <x:c r="F37" s="16" t="str">
        <x:v>3271854.11</x:v>
      </x:c>
      <x:c r="G37" s="16" t="str">
        <x:v>NAD 1983 StatePlane Louisiana North FIPS 1701 Feet (US ft) - confirm with GIS</x:v>
      </x:c>
      <x:c r="H37" s="16" t="str">
        <x:v>62 - 71.5</x:v>
      </x:c>
      <x:c r="I37" s="16" t="str">
        <x:v>86.88</x:v>
      </x:c>
      <x:c r="J37" s="16" t="str">
        <x:v>72.44</x:v>
      </x:c>
      <x:c r="K37" s="16" t="str">
        <x:v>9/22/2025</x:v>
      </x:c>
      <x:c r="L37" s="16" t="str">
        <x:v>N</x:v>
      </x:c>
      <x:c r="M37" s="16" t="str">
        <x:v>Y</x:v>
      </x:c>
      <x:c r="N37" s="16" t="str"/>
      <x:c r="O37" s="16" t="str">
        <x:v>Gauged/inspected only</x:v>
      </x:c>
      <x:c r="P37" s="16" t="str"/>
      <x:c r="Q37" s="16" t="str">
        <x:v>N</x:v>
      </x:c>
      <x:c r="R37" s="16" t="str"/>
      <x:c r="S37" s="16" t="str"/>
      <x:c r="T37" s="16" t="str"/>
      <x:c r="U37" s="16" t="str"/>
      <x:c r="V37" s="16" t="str"/>
      <x:c r="W37" s="16" t="str"/>
      <x:c r="X37" s="16" t="str">
        <x:v>Gauging/inspection only</x:v>
      </x:c>
      <x:c r="Y37" s="16" t="n">
        <x:v>4</x:v>
      </x:c>
      <x:c r="Z37" s="16" t="str">
        <x:v>Retain for annual gauging/inspection as applicable.</x:v>
      </x:c>
      <x:c r="AA37" s="16" t="str"/>
      <x:c r="AB37" s="16" t="str"/>
      <x:c r="AC37" s="16" t="str">
        <x:v>Attachment 1A Table 1-A; AMR Tables 2-2 and 3-1</x:v>
      </x:c>
    </x:row>
    <x:row r="38" ht="45" customHeight="1">
      <x:c r="A38" s="16" t="str">
        <x:v>Well #5</x:v>
      </x:c>
      <x:c r="B38" s="16" t="str">
        <x:v>Le Tig Bayou</x:v>
      </x:c>
      <x:c r="C38" s="16" t="str">
        <x:v>Intermediate</x:v>
      </x:c>
      <x:c r="D38" s="16" t="str">
        <x:v>B</x:v>
      </x:c>
      <x:c r="E38" s="16" t="str">
        <x:v>298525.52</x:v>
      </x:c>
      <x:c r="F38" s="16" t="str">
        <x:v>3271523.04</x:v>
      </x:c>
      <x:c r="G38" s="16" t="str">
        <x:v>NAD 1983 StatePlane Louisiana North FIPS 1701 Feet (US ft) - confirm with GIS</x:v>
      </x:c>
      <x:c r="H38" s="16" t="str">
        <x:v>50 - 59.5</x:v>
      </x:c>
      <x:c r="I38" s="16" t="str">
        <x:v>85.57</x:v>
      </x:c>
      <x:c r="J38" s="16" t="str">
        <x:v>74.23</x:v>
      </x:c>
      <x:c r="K38" s="16" t="str">
        <x:v>9/18/2025</x:v>
      </x:c>
      <x:c r="L38" s="16" t="str">
        <x:v>Y</x:v>
      </x:c>
      <x:c r="M38" s="16" t="str">
        <x:v>Y</x:v>
      </x:c>
      <x:c r="N38" s="16" t="str">
        <x:v>VOC</x:v>
      </x:c>
      <x:c r="O38" s="16" t="str">
        <x:v>Complete</x:v>
      </x:c>
      <x:c r="P38" s="16" t="str">
        <x:v>2025-09-18 / WELL 5_09182025</x:v>
      </x:c>
      <x:c r="Q38" s="16" t="str">
        <x:v>N</x:v>
      </x:c>
      <x:c r="R38" s="16" t="str"/>
      <x:c r="S38" s="16" t="str"/>
      <x:c r="T38" s="16" t="str"/>
      <x:c r="U38" s="16" t="str"/>
      <x:c r="V38" s="16" t="str"/>
      <x:c r="W38" s="16" t="str"/>
      <x:c r="X38" s="16" t="str">
        <x:v>Sampled – no COC exceedance</x:v>
      </x:c>
      <x:c r="Y38" s="16" t="n">
        <x:v>3</x:v>
      </x:c>
      <x:c r="Z38" s="16" t="str">
        <x:v>Retain in optimized schedule; no escalation unless trend or exceedance trigger is identified.</x:v>
      </x:c>
      <x:c r="AA38" s="16" t="str"/>
      <x:c r="AB38" s="16" t="str"/>
      <x:c r="AC38" s="16" t="str">
        <x:v>Attachment 1A Table 1-A; AMR Tables 2-2 and 3-1</x:v>
      </x:c>
    </x:row>
    <x:row r="39" ht="45" customHeight="1">
      <x:c r="A39" s="16" t="str">
        <x:v>Well #6</x:v>
      </x:c>
      <x:c r="B39" s="16" t="str">
        <x:v>Le Tig Bayou</x:v>
      </x:c>
      <x:c r="C39" s="16" t="str">
        <x:v>Intermediate</x:v>
      </x:c>
      <x:c r="D39" s="16" t="str">
        <x:v>B</x:v>
      </x:c>
      <x:c r="E39" s="16" t="str">
        <x:v>297615.49</x:v>
      </x:c>
      <x:c r="F39" s="16" t="str">
        <x:v>3271633.24</x:v>
      </x:c>
      <x:c r="G39" s="16" t="str">
        <x:v>NAD 1983 StatePlane Louisiana North FIPS 1701 Feet (US ft) - confirm with GIS</x:v>
      </x:c>
      <x:c r="H39" s="16" t="str">
        <x:v>50 - 59.5</x:v>
      </x:c>
      <x:c r="I39" s="16" t="str">
        <x:v>83.44</x:v>
      </x:c>
      <x:c r="J39" s="16" t="str">
        <x:v>75.04</x:v>
      </x:c>
      <x:c r="K39" s="16" t="str">
        <x:v>9/18/2025</x:v>
      </x:c>
      <x:c r="L39" s="16" t="str">
        <x:v>Y</x:v>
      </x:c>
      <x:c r="M39" s="16" t="str">
        <x:v>Y</x:v>
      </x:c>
      <x:c r="N39" s="16" t="str">
        <x:v>VOC</x:v>
      </x:c>
      <x:c r="O39" s="16" t="str">
        <x:v>Complete</x:v>
      </x:c>
      <x:c r="P39" s="16" t="str">
        <x:v>2025-09-18 / WELL 6_09182025</x:v>
      </x:c>
      <x:c r="Q39" s="16" t="str">
        <x:v>N</x:v>
      </x:c>
      <x:c r="R39" s="16" t="str"/>
      <x:c r="S39" s="16" t="str"/>
      <x:c r="T39" s="16" t="str"/>
      <x:c r="U39" s="16" t="str"/>
      <x:c r="V39" s="16" t="str"/>
      <x:c r="W39" s="16" t="str"/>
      <x:c r="X39" s="16" t="str">
        <x:v>Sampled – no COC exceedance</x:v>
      </x:c>
      <x:c r="Y39" s="16" t="n">
        <x:v>3</x:v>
      </x:c>
      <x:c r="Z39" s="16" t="str">
        <x:v>Retain in optimized schedule; no escalation unless trend or exceedance trigger is identified.</x:v>
      </x:c>
      <x:c r="AA39" s="16" t="str"/>
      <x:c r="AB39" s="16" t="str"/>
      <x:c r="AC39" s="16" t="str">
        <x:v>Attachment 1A Table 1-A; AMR Tables 2-2 and 3-1</x:v>
      </x:c>
    </x:row>
    <x:row r="40" ht="45" customHeight="1">
      <x:c r="A40" s="16" t="str">
        <x:v>Well #7</x:v>
      </x:c>
      <x:c r="B40" s="16" t="str">
        <x:v>Context / confirm with GIS site-area layer</x:v>
      </x:c>
      <x:c r="C40" s="16" t="str">
        <x:v>Intermediate</x:v>
      </x:c>
      <x:c r="D40" s="16" t="str">
        <x:v>G</x:v>
      </x:c>
      <x:c r="E40" s="16" t="str">
        <x:v>297628.81</x:v>
      </x:c>
      <x:c r="F40" s="16" t="str">
        <x:v>3271071.77</x:v>
      </x:c>
      <x:c r="G40" s="16" t="str">
        <x:v>NAD 1983 StatePlane Louisiana North FIPS 1701 Feet (US ft) - confirm with GIS</x:v>
      </x:c>
      <x:c r="H40" s="16" t="str">
        <x:v>50 - 59.5</x:v>
      </x:c>
      <x:c r="I40" s="16" t="str">
        <x:v>91.19</x:v>
      </x:c>
      <x:c r="J40" s="16" t="str">
        <x:v>74.93</x:v>
      </x:c>
      <x:c r="K40" s="16" t="str">
        <x:v>9/23/2025</x:v>
      </x:c>
      <x:c r="L40" s="16" t="str">
        <x:v>N</x:v>
      </x:c>
      <x:c r="M40" s="16" t="str">
        <x:v>Y</x:v>
      </x:c>
      <x:c r="N40" s="16" t="str"/>
      <x:c r="O40" s="16" t="str">
        <x:v>Gauged/inspected only</x:v>
      </x:c>
      <x:c r="P40" s="16" t="str"/>
      <x:c r="Q40" s="16" t="str">
        <x:v>N</x:v>
      </x:c>
      <x:c r="R40" s="16" t="str"/>
      <x:c r="S40" s="16" t="str"/>
      <x:c r="T40" s="16" t="str"/>
      <x:c r="U40" s="16" t="str"/>
      <x:c r="V40" s="16" t="str"/>
      <x:c r="W40" s="16" t="str"/>
      <x:c r="X40" s="16" t="str">
        <x:v>Gauging/inspection only</x:v>
      </x:c>
      <x:c r="Y40" s="16" t="n">
        <x:v>4</x:v>
      </x:c>
      <x:c r="Z40" s="16" t="str">
        <x:v>Retain for annual gauging/inspection as applicable.</x:v>
      </x:c>
      <x:c r="AA40" s="16" t="str"/>
      <x:c r="AB40" s="16" t="str"/>
      <x:c r="AC40" s="16" t="str">
        <x:v>Attachment 1A Table 1-A; AMR Tables 2-2 and 3-1</x:v>
      </x:c>
    </x:row>
    <x:row r="41" ht="45" customHeight="1">
      <x:c r="A41" s="16" t="str">
        <x:v>Well #8</x:v>
      </x:c>
      <x:c r="B41" s="16" t="str">
        <x:v>Le Tig Bayou</x:v>
      </x:c>
      <x:c r="C41" s="16" t="str">
        <x:v>Intermediate</x:v>
      </x:c>
      <x:c r="D41" s="16" t="str">
        <x:v>A</x:v>
      </x:c>
      <x:c r="E41" s="16" t="str">
        <x:v>298158.76</x:v>
      </x:c>
      <x:c r="F41" s="16" t="str">
        <x:v>3272121.69</x:v>
      </x:c>
      <x:c r="G41" s="16" t="str">
        <x:v>NAD 1983 StatePlane Louisiana North FIPS 1701 Feet (US ft) - confirm with GIS</x:v>
      </x:c>
      <x:c r="H41" s="16" t="str">
        <x:v>69 - 78.5</x:v>
      </x:c>
      <x:c r="I41" s="16" t="str">
        <x:v>91.21</x:v>
      </x:c>
      <x:c r="J41" s="16" t="str">
        <x:v>74.87</x:v>
      </x:c>
      <x:c r="K41" s="16" t="str">
        <x:v>9/17/2025</x:v>
      </x:c>
      <x:c r="L41" s="16" t="str">
        <x:v>Y</x:v>
      </x:c>
      <x:c r="M41" s="16" t="str">
        <x:v>Y</x:v>
      </x:c>
      <x:c r="N41" s="16" t="str">
        <x:v>VOC + MNA</x:v>
      </x:c>
      <x:c r="O41" s="16" t="str">
        <x:v>Complete</x:v>
      </x:c>
      <x:c r="P41" s="16" t="str">
        <x:v>2025-09-17 / WELL 8_09172025</x:v>
      </x:c>
      <x:c r="Q41" s="16" t="str">
        <x:v>Y</x:v>
      </x:c>
      <x:c r="R41" s="16" t="str">
        <x:v>VC</x:v>
      </x:c>
      <x:c r="S41" s="16" t="str">
        <x:v>VC = 4.3</x:v>
      </x:c>
      <x:c r="T41" s="16" t="str">
        <x:v>VC = 2</x:v>
      </x:c>
      <x:c r="U41" s="16" t="n">
        <x:v>2.15</x:v>
      </x:c>
      <x:c r="V41" s="16" t="str">
        <x:v>VC</x:v>
      </x:c>
      <x:c r="W41" s="16" t="n">
        <x:v>4.3</x:v>
      </x:c>
      <x:c r="X41" s="16" t="str">
        <x:v>VC exceedance</x:v>
      </x:c>
      <x:c r="Y41" s="16" t="n">
        <x:v>2</x:v>
      </x:c>
      <x:c r="Z41" s="16" t="str">
        <x:v>Continue annual VOC + MNA monitoring for trend confirmation.</x:v>
      </x:c>
      <x:c r="AA41" s="16" t="str"/>
      <x:c r="AB41" s="16" t="str">
        <x:v>No data-use limitation identified in preliminary table build.</x:v>
      </x:c>
      <x:c r="AC41" s="16" t="str">
        <x:v>Attachment 1A Table 1-A; AMR Tables 2-2 and 3-1</x:v>
      </x:c>
    </x:row>
    <x:row r="42" ht="45" customHeight="1">
      <x:c r="A42" s="16" t="str">
        <x:v>Well #9</x:v>
      </x:c>
      <x:c r="B42" s="16" t="str">
        <x:v>Le Tig Bayou</x:v>
      </x:c>
      <x:c r="C42" s="16" t="str">
        <x:v>Intermediate</x:v>
      </x:c>
      <x:c r="D42" s="16" t="str">
        <x:v>G</x:v>
      </x:c>
      <x:c r="E42" s="16" t="str">
        <x:v>299693.52</x:v>
      </x:c>
      <x:c r="F42" s="16" t="str">
        <x:v>3272372.01</x:v>
      </x:c>
      <x:c r="G42" s="16" t="str">
        <x:v>NAD 1983 StatePlane Louisiana North FIPS 1701 Feet (US ft) - confirm with GIS</x:v>
      </x:c>
      <x:c r="H42" s="16" t="str">
        <x:v>--</x:v>
      </x:c>
      <x:c r="I42" s="16" t="str">
        <x:v>84.14</x:v>
      </x:c>
      <x:c r="J42" s="16" t="str">
        <x:v>74.67</x:v>
      </x:c>
      <x:c r="K42" s="16" t="str">
        <x:v>9/16/2025</x:v>
      </x:c>
      <x:c r="L42" s="16" t="str">
        <x:v>Y</x:v>
      </x:c>
      <x:c r="M42" s="16" t="str">
        <x:v>Y</x:v>
      </x:c>
      <x:c r="N42" s="16" t="str">
        <x:v>VOC</x:v>
      </x:c>
      <x:c r="O42" s="16" t="str">
        <x:v>Complete</x:v>
      </x:c>
      <x:c r="P42" s="16" t="str">
        <x:v>2025-09-16 / WELL 9_09162025</x:v>
      </x:c>
      <x:c r="Q42" s="16" t="str">
        <x:v>N</x:v>
      </x:c>
      <x:c r="R42" s="16" t="str"/>
      <x:c r="S42" s="16" t="str"/>
      <x:c r="T42" s="16" t="str"/>
      <x:c r="U42" s="16" t="str"/>
      <x:c r="V42" s="16" t="str"/>
      <x:c r="W42" s="16" t="str"/>
      <x:c r="X42" s="16" t="str">
        <x:v>Sampled – no COC exceedance</x:v>
      </x:c>
      <x:c r="Y42" s="16" t="n">
        <x:v>3</x:v>
      </x:c>
      <x:c r="Z42" s="16" t="str">
        <x:v>Retain in optimized schedule; no escalation unless trend or exceedance trigger is identified.</x:v>
      </x:c>
      <x:c r="AA42" s="16" t="str"/>
      <x:c r="AB42" s="16" t="str"/>
      <x:c r="AC42" s="16" t="str">
        <x:v>Attachment 1A Table 1-A; AMR Tables 2-2 and 3-1</x:v>
      </x:c>
    </x:row>
    <x:row r="43" ht="45" customHeight="1">
      <x:c r="A43" s="16" t="str">
        <x:v>Well #11</x:v>
      </x:c>
      <x:c r="B43" s="16" t="str">
        <x:v>North Apron</x:v>
      </x:c>
      <x:c r="C43" s="16" t="str">
        <x:v>Intermediate</x:v>
      </x:c>
      <x:c r="D43" s="16" t="str">
        <x:v>A</x:v>
      </x:c>
      <x:c r="E43" s="16" t="str">
        <x:v>300733.01</x:v>
      </x:c>
      <x:c r="F43" s="16" t="str">
        <x:v>3268872.00</x:v>
      </x:c>
      <x:c r="G43" s="16" t="str">
        <x:v>NAD 1983 StatePlane Louisiana North FIPS 1701 Feet (US ft) - confirm with GIS</x:v>
      </x:c>
      <x:c r="H43" s="16" t="str">
        <x:v>70 - 79.5</x:v>
      </x:c>
      <x:c r="I43" s="16" t="str">
        <x:v>87.09</x:v>
      </x:c>
      <x:c r="J43" s="16" t="str">
        <x:v>74.69</x:v>
      </x:c>
      <x:c r="K43" s="16" t="str">
        <x:v>9/18/2025</x:v>
      </x:c>
      <x:c r="L43" s="16" t="str">
        <x:v>Y</x:v>
      </x:c>
      <x:c r="M43" s="16" t="str">
        <x:v>Y</x:v>
      </x:c>
      <x:c r="N43" s="16" t="str">
        <x:v>VOC + MNA</x:v>
      </x:c>
      <x:c r="O43" s="16" t="str">
        <x:v>Complete</x:v>
      </x:c>
      <x:c r="P43" s="16" t="str">
        <x:v>2025-09-18 / WELL 11_09182025</x:v>
      </x:c>
      <x:c r="Q43" s="16" t="str">
        <x:v>Y</x:v>
      </x:c>
      <x:c r="R43" s="16" t="str">
        <x:v>VC</x:v>
      </x:c>
      <x:c r="S43" s="16" t="str">
        <x:v>VC = 83.6</x:v>
      </x:c>
      <x:c r="T43" s="16" t="str">
        <x:v>VC = 2</x:v>
      </x:c>
      <x:c r="U43" s="16" t="n">
        <x:v>41.8</x:v>
      </x:c>
      <x:c r="V43" s="16" t="str">
        <x:v>VC</x:v>
      </x:c>
      <x:c r="W43" s="16" t="n">
        <x:v>83.6</x:v>
      </x:c>
      <x:c r="X43" s="16" t="str">
        <x:v>VC exceedance</x:v>
      </x:c>
      <x:c r="Y43" s="16" t="n">
        <x:v>1</x:v>
      </x:c>
      <x:c r="Z43" s="16" t="str">
        <x:v>Continue annual VOC + MNA monitoring for trend confirmation.</x:v>
      </x:c>
      <x:c r="AA43" s="16" t="str"/>
      <x:c r="AB43" s="16" t="str">
        <x:v>No data-use limitation identified in preliminary table build.</x:v>
      </x:c>
      <x:c r="AC43" s="16" t="str">
        <x:v>Attachment 1A Table 1-A; AMR Tables 2-2 and 3-1</x:v>
      </x:c>
    </x:row>
    <x:row r="44" ht="45" customHeight="1">
      <x:c r="A44" s="16" t="str">
        <x:v>Well #13</x:v>
      </x:c>
      <x:c r="B44" s="16" t="str">
        <x:v>North Apron</x:v>
      </x:c>
      <x:c r="C44" s="16" t="str">
        <x:v>Intermediate</x:v>
      </x:c>
      <x:c r="D44" s="16" t="str">
        <x:v>A</x:v>
      </x:c>
      <x:c r="E44" s="16" t="str">
        <x:v>301195.91</x:v>
      </x:c>
      <x:c r="F44" s="16" t="str">
        <x:v>3269450.20</x:v>
      </x:c>
      <x:c r="G44" s="16" t="str">
        <x:v>NAD 1983 StatePlane Louisiana North FIPS 1701 Feet (US ft) - confirm with GIS</x:v>
      </x:c>
      <x:c r="H44" s="16" t="str">
        <x:v>70 - 79.5</x:v>
      </x:c>
      <x:c r="I44" s="16" t="str">
        <x:v>87.28</x:v>
      </x:c>
      <x:c r="J44" s="16" t="str">
        <x:v>74.56</x:v>
      </x:c>
      <x:c r="K44" s="16" t="str">
        <x:v>9/19/2025</x:v>
      </x:c>
      <x:c r="L44" s="16" t="str">
        <x:v>Y</x:v>
      </x:c>
      <x:c r="M44" s="16" t="str">
        <x:v>Y</x:v>
      </x:c>
      <x:c r="N44" s="16" t="str">
        <x:v>VOC + MNA</x:v>
      </x:c>
      <x:c r="O44" s="16" t="str">
        <x:v>Complete</x:v>
      </x:c>
      <x:c r="P44" s="16" t="str">
        <x:v>2025-09-19 / WELL 13_09192025</x:v>
      </x:c>
      <x:c r="Q44" s="16" t="str">
        <x:v>Y</x:v>
      </x:c>
      <x:c r="R44" s="16" t="str">
        <x:v>VC</x:v>
      </x:c>
      <x:c r="S44" s="16" t="str">
        <x:v>VC = 88.9</x:v>
      </x:c>
      <x:c r="T44" s="16" t="str">
        <x:v>VC = 2</x:v>
      </x:c>
      <x:c r="U44" s="16" t="n">
        <x:v>44.45</x:v>
      </x:c>
      <x:c r="V44" s="16" t="str">
        <x:v>VC</x:v>
      </x:c>
      <x:c r="W44" s="16" t="n">
        <x:v>88.9</x:v>
      </x:c>
      <x:c r="X44" s="16" t="str">
        <x:v>VC exceedance</x:v>
      </x:c>
      <x:c r="Y44" s="16" t="n">
        <x:v>1</x:v>
      </x:c>
      <x:c r="Z44" s="16" t="str">
        <x:v>Continue annual VOC + MNA monitoring for trend confirmation.</x:v>
      </x:c>
      <x:c r="AA44" s="16" t="str"/>
      <x:c r="AB44" s="16" t="str">
        <x:v>No data-use limitation identified in preliminary table build.</x:v>
      </x:c>
      <x:c r="AC44" s="16" t="str">
        <x:v>Attachment 1A Table 1-A; AMR Tables 2-2 and 3-1</x:v>
      </x:c>
    </x:row>
    <x:row r="45" ht="45" customHeight="1">
      <x:c r="A45" s="16" t="str">
        <x:v>Well #15</x:v>
      </x:c>
      <x:c r="B45" s="16" t="str">
        <x:v>North Apron</x:v>
      </x:c>
      <x:c r="C45" s="16" t="str">
        <x:v>Intermediate</x:v>
      </x:c>
      <x:c r="D45" s="16" t="str">
        <x:v>A</x:v>
      </x:c>
      <x:c r="E45" s="16" t="str">
        <x:v>301088.36</x:v>
      </x:c>
      <x:c r="F45" s="16" t="str">
        <x:v>3269047.49</x:v>
      </x:c>
      <x:c r="G45" s="16" t="str">
        <x:v>NAD 1983 StatePlane Louisiana North FIPS 1701 Feet (US ft) - confirm with GIS</x:v>
      </x:c>
      <x:c r="H45" s="16" t="str">
        <x:v>60 - 69.5</x:v>
      </x:c>
      <x:c r="I45" s="16" t="str">
        <x:v>87.03</x:v>
      </x:c>
      <x:c r="J45" s="16" t="str">
        <x:v>74.88</x:v>
      </x:c>
      <x:c r="K45" s="16" t="str">
        <x:v>9/22/2025</x:v>
      </x:c>
      <x:c r="L45" s="16" t="str">
        <x:v>Y</x:v>
      </x:c>
      <x:c r="M45" s="16" t="str">
        <x:v>Y</x:v>
      </x:c>
      <x:c r="N45" s="16" t="str">
        <x:v>VOC + MNA</x:v>
      </x:c>
      <x:c r="O45" s="16" t="str">
        <x:v>Complete – duplicate collected</x:v>
      </x:c>
      <x:c r="P45" s="16" t="str">
        <x:v>2025-09-22 / WELL 15_09222025; duplicate WELL 15_09222025B</x:v>
      </x:c>
      <x:c r="Q45" s="16" t="str">
        <x:v>Y</x:v>
      </x:c>
      <x:c r="R45" s="16" t="str">
        <x:v>1,1-DCE; TCE; VC</x:v>
      </x:c>
      <x:c r="S45" s="16" t="str">
        <x:v>1,1-DCE = 67.2 [71.0 duplicate]; TCE = 5.4 [5.5 duplicate]; VC = 35.0 [40.4 duplicate]</x:v>
      </x:c>
      <x:c r="T45" s="16" t="str">
        <x:v>1,1-DCE = 7; TCE = 5; VC = 2</x:v>
      </x:c>
      <x:c r="U45" s="16" t="n">
        <x:v>20.2</x:v>
      </x:c>
      <x:c r="V45" s="16" t="str">
        <x:v>VC</x:v>
      </x:c>
      <x:c r="W45" s="16" t="n">
        <x:v>40.4</x:v>
      </x:c>
      <x:c r="X45" s="16" t="str">
        <x:v>Multi-COC exceedance</x:v>
      </x:c>
      <x:c r="Y45" s="16" t="n">
        <x:v>1</x:v>
      </x:c>
      <x:c r="Z45" s="16" t="str">
        <x:v>Continue annual VOC + MNA monitoring for trend confirmation.</x:v>
      </x:c>
      <x:c r="AA45" s="16" t="str"/>
      <x:c r="AB45" s="16" t="str">
        <x:v>Duplicate collected; parent and duplicate exceed listed BCT-CSLs.</x:v>
      </x:c>
      <x:c r="AC45" s="16" t="str">
        <x:v>Attachment 1A Table 1-A; AMR Tables 2-2 and 3-1</x:v>
      </x:c>
    </x:row>
    <x:row r="46" ht="45" customHeight="1">
      <x:c r="A46" s="16" t="str">
        <x:v>Well #17</x:v>
      </x:c>
      <x:c r="B46" s="16" t="str">
        <x:v>North Apron</x:v>
      </x:c>
      <x:c r="C46" s="16" t="str">
        <x:v>Intermediate</x:v>
      </x:c>
      <x:c r="D46" s="16" t="str">
        <x:v>A</x:v>
      </x:c>
      <x:c r="E46" s="16" t="str">
        <x:v>301820.40</x:v>
      </x:c>
      <x:c r="F46" s="16" t="str">
        <x:v>3269306.59</x:v>
      </x:c>
      <x:c r="G46" s="16" t="str">
        <x:v>NAD 1983 StatePlane Louisiana North FIPS 1701 Feet (US ft) - confirm with GIS</x:v>
      </x:c>
      <x:c r="H46" s="16" t="str">
        <x:v>55 - 64.5</x:v>
      </x:c>
      <x:c r="I46" s="16" t="str">
        <x:v>84.16</x:v>
      </x:c>
      <x:c r="J46" s="16" t="str">
        <x:v>74.21</x:v>
      </x:c>
      <x:c r="K46" s="16" t="str">
        <x:v>10/6/2025</x:v>
      </x:c>
      <x:c r="L46" s="16" t="str">
        <x:v>Y</x:v>
      </x:c>
      <x:c r="M46" s="16" t="str">
        <x:v>Y</x:v>
      </x:c>
      <x:c r="N46" s="16" t="str">
        <x:v>VOC + MNA</x:v>
      </x:c>
      <x:c r="O46" s="16" t="str">
        <x:v>Complete</x:v>
      </x:c>
      <x:c r="P46" s="16" t="str">
        <x:v>2025-10-06 / WELL 17_06102025</x:v>
      </x:c>
      <x:c r="Q46" s="16" t="str">
        <x:v>Y</x:v>
      </x:c>
      <x:c r="R46" s="16" t="str">
        <x:v>VC</x:v>
      </x:c>
      <x:c r="S46" s="16" t="str">
        <x:v>VC = 12.8</x:v>
      </x:c>
      <x:c r="T46" s="16" t="str">
        <x:v>VC = 2</x:v>
      </x:c>
      <x:c r="U46" s="16" t="n">
        <x:v>6.4</x:v>
      </x:c>
      <x:c r="V46" s="16" t="str">
        <x:v>VC</x:v>
      </x:c>
      <x:c r="W46" s="16" t="n">
        <x:v>12.8</x:v>
      </x:c>
      <x:c r="X46" s="16" t="str">
        <x:v>VC exceedance</x:v>
      </x:c>
      <x:c r="Y46" s="16" t="n">
        <x:v>2</x:v>
      </x:c>
      <x:c r="Z46" s="16" t="str">
        <x:v>Continue annual VOC + MNA monitoring for trend confirmation.</x:v>
      </x:c>
      <x:c r="AA46" s="16" t="str">
        <x:v>Lab sample ID uses 06102025; interpret as October 6, 2025 based on SDG/date context.</x:v>
      </x:c>
      <x:c r="AB46" s="16" t="str">
        <x:v>Laboratory sample ID date code shows 06102025; field date was October 6, 2025.</x:v>
      </x:c>
      <x:c r="AC46" s="16" t="str">
        <x:v>Attachment 1A Table 1-A; AMR Tables 2-2 and 3-1</x:v>
      </x:c>
    </x:row>
    <x:row r="47" ht="45" customHeight="1">
      <x:c r="A47" s="16" t="str">
        <x:v>Well #19</x:v>
      </x:c>
      <x:c r="B47" s="16" t="str">
        <x:v>Context / confirm with GIS site-area layer</x:v>
      </x:c>
      <x:c r="C47" s="16" t="str">
        <x:v>Intermediate</x:v>
      </x:c>
      <x:c r="D47" s="16" t="str">
        <x:v>G</x:v>
      </x:c>
      <x:c r="E47" s="16" t="str">
        <x:v>301928.19</x:v>
      </x:c>
      <x:c r="F47" s="16" t="str">
        <x:v>3268378.70</x:v>
      </x:c>
      <x:c r="G47" s="16" t="str">
        <x:v>NAD 1983 StatePlane Louisiana North FIPS 1701 Feet (US ft) - confirm with GIS</x:v>
      </x:c>
      <x:c r="H47" s="16" t="str">
        <x:v>70 - 79.5</x:v>
      </x:c>
      <x:c r="I47" s="16" t="str">
        <x:v>84.05</x:v>
      </x:c>
      <x:c r="J47" s="16" t="str">
        <x:v>75.16</x:v>
      </x:c>
      <x:c r="K47" s="16" t="str">
        <x:v>9/30/2025</x:v>
      </x:c>
      <x:c r="L47" s="16" t="str">
        <x:v>N</x:v>
      </x:c>
      <x:c r="M47" s="16" t="str">
        <x:v>Y</x:v>
      </x:c>
      <x:c r="N47" s="16" t="str"/>
      <x:c r="O47" s="16" t="str">
        <x:v>Gauged/inspected only</x:v>
      </x:c>
      <x:c r="P47" s="16" t="str"/>
      <x:c r="Q47" s="16" t="str">
        <x:v>N</x:v>
      </x:c>
      <x:c r="R47" s="16" t="str"/>
      <x:c r="S47" s="16" t="str"/>
      <x:c r="T47" s="16" t="str"/>
      <x:c r="U47" s="16" t="str"/>
      <x:c r="V47" s="16" t="str"/>
      <x:c r="W47" s="16" t="str"/>
      <x:c r="X47" s="16" t="str">
        <x:v>Gauging/inspection only</x:v>
      </x:c>
      <x:c r="Y47" s="16" t="n">
        <x:v>4</x:v>
      </x:c>
      <x:c r="Z47" s="16" t="str">
        <x:v>Retain for annual gauging/inspection as applicable.</x:v>
      </x:c>
      <x:c r="AA47" s="16" t="str"/>
      <x:c r="AB47" s="16" t="str"/>
      <x:c r="AC47" s="16" t="str">
        <x:v>Attachment 1A Table 1-A; AMR Tables 2-2 and 3-1</x:v>
      </x:c>
    </x:row>
    <x:row r="48" ht="45" customHeight="1">
      <x:c r="A48" s="16" t="str">
        <x:v>Well #21</x:v>
      </x:c>
      <x:c r="B48" s="16" t="str">
        <x:v>Context / confirm with GIS site-area layer</x:v>
      </x:c>
      <x:c r="C48" s="16" t="str">
        <x:v>Intermediate</x:v>
      </x:c>
      <x:c r="D48" s="16" t="str">
        <x:v>G</x:v>
      </x:c>
      <x:c r="E48" s="16" t="str">
        <x:v>302141.85</x:v>
      </x:c>
      <x:c r="F48" s="16" t="str">
        <x:v>3269397.22</x:v>
      </x:c>
      <x:c r="G48" s="16" t="str">
        <x:v>NAD 1983 StatePlane Louisiana North FIPS 1701 Feet (US ft) - confirm with GIS</x:v>
      </x:c>
      <x:c r="H48" s="16" t="str">
        <x:v>75 - 84.5</x:v>
      </x:c>
      <x:c r="I48" s="16" t="str">
        <x:v>83.61</x:v>
      </x:c>
      <x:c r="J48" s="16" t="str">
        <x:v>74.55</x:v>
      </x:c>
      <x:c r="K48" s="16" t="str">
        <x:v>9/30/2025</x:v>
      </x:c>
      <x:c r="L48" s="16" t="str">
        <x:v>N</x:v>
      </x:c>
      <x:c r="M48" s="16" t="str">
        <x:v>Y</x:v>
      </x:c>
      <x:c r="N48" s="16" t="str"/>
      <x:c r="O48" s="16" t="str">
        <x:v>Gauged/inspected only</x:v>
      </x:c>
      <x:c r="P48" s="16" t="str"/>
      <x:c r="Q48" s="16" t="str">
        <x:v>N</x:v>
      </x:c>
      <x:c r="R48" s="16" t="str"/>
      <x:c r="S48" s="16" t="str"/>
      <x:c r="T48" s="16" t="str"/>
      <x:c r="U48" s="16" t="str"/>
      <x:c r="V48" s="16" t="str"/>
      <x:c r="W48" s="16" t="str"/>
      <x:c r="X48" s="16" t="str">
        <x:v>Gauging/inspection only</x:v>
      </x:c>
      <x:c r="Y48" s="16" t="n">
        <x:v>4</x:v>
      </x:c>
      <x:c r="Z48" s="16" t="str">
        <x:v>Retain for annual gauging/inspection as applicable.</x:v>
      </x:c>
      <x:c r="AA48" s="16" t="str"/>
      <x:c r="AB48" s="16" t="str"/>
      <x:c r="AC48" s="16" t="str">
        <x:v>Attachment 1A Table 1-A; AMR Tables 2-2 and 3-1</x:v>
      </x:c>
    </x:row>
    <x:row r="49" ht="45" customHeight="1">
      <x:c r="A49" s="16" t="str">
        <x:v>Well #22</x:v>
      </x:c>
      <x:c r="B49" s="16" t="str">
        <x:v>North Apron</x:v>
      </x:c>
      <x:c r="C49" s="16" t="str">
        <x:v>Intermediate</x:v>
      </x:c>
      <x:c r="D49" s="16" t="str">
        <x:v>B</x:v>
      </x:c>
      <x:c r="E49" s="16" t="str">
        <x:v>300687.31</x:v>
      </x:c>
      <x:c r="F49" s="16" t="str">
        <x:v>3270146.95</x:v>
      </x:c>
      <x:c r="G49" s="16" t="str">
        <x:v>NAD 1983 StatePlane Louisiana North FIPS 1701 Feet (US ft) - confirm with GIS</x:v>
      </x:c>
      <x:c r="H49" s="16" t="str">
        <x:v>--</x:v>
      </x:c>
      <x:c r="I49" s="16" t="str">
        <x:v>86.09</x:v>
      </x:c>
      <x:c r="J49" s="16" t="str">
        <x:v>74.67</x:v>
      </x:c>
      <x:c r="K49" s="16" t="str">
        <x:v>9/19/2025</x:v>
      </x:c>
      <x:c r="L49" s="16" t="str">
        <x:v>Y</x:v>
      </x:c>
      <x:c r="M49" s="16" t="str">
        <x:v>Y</x:v>
      </x:c>
      <x:c r="N49" s="16" t="str">
        <x:v>VOC</x:v>
      </x:c>
      <x:c r="O49" s="16" t="str">
        <x:v>Complete</x:v>
      </x:c>
      <x:c r="P49" s="16" t="str">
        <x:v>2025-09-19 / WELL 22_09192025</x:v>
      </x:c>
      <x:c r="Q49" s="16" t="str">
        <x:v>N</x:v>
      </x:c>
      <x:c r="R49" s="16" t="str"/>
      <x:c r="S49" s="16" t="str"/>
      <x:c r="T49" s="16" t="str"/>
      <x:c r="U49" s="16" t="str"/>
      <x:c r="V49" s="16" t="str"/>
      <x:c r="W49" s="16" t="str"/>
      <x:c r="X49" s="16" t="str">
        <x:v>Sampled – no COC exceedance</x:v>
      </x:c>
      <x:c r="Y49" s="16" t="n">
        <x:v>3</x:v>
      </x:c>
      <x:c r="Z49" s="16" t="str">
        <x:v>Retain in optimized schedule; no escalation unless trend or exceedance trigger is identified.</x:v>
      </x:c>
      <x:c r="AA49" s="16" t="str"/>
      <x:c r="AB49" s="16" t="str"/>
      <x:c r="AC49" s="16" t="str">
        <x:v>Attachment 1A Table 1-A; AMR Tables 2-2 and 3-1</x:v>
      </x:c>
    </x:row>
    <x:row r="50" ht="45" customHeight="1">
      <x:c r="A50" s="16" t="str">
        <x:v>Well #23</x:v>
      </x:c>
      <x:c r="B50" s="16" t="str">
        <x:v>Le Tig Bayou</x:v>
      </x:c>
      <x:c r="C50" s="16" t="str">
        <x:v>Intermediate</x:v>
      </x:c>
      <x:c r="D50" s="16" t="str">
        <x:v>A</x:v>
      </x:c>
      <x:c r="E50" s="16" t="str">
        <x:v>298737.80</x:v>
      </x:c>
      <x:c r="F50" s="16" t="str">
        <x:v>3272389.14</x:v>
      </x:c>
      <x:c r="G50" s="16" t="str">
        <x:v>NAD 1983 StatePlane Louisiana North FIPS 1701 Feet (US ft) - confirm with GIS</x:v>
      </x:c>
      <x:c r="H50" s="16" t="str">
        <x:v>--</x:v>
      </x:c>
      <x:c r="I50" s="16" t="str">
        <x:v>86.03</x:v>
      </x:c>
      <x:c r="J50" s="16" t="str">
        <x:v>75.03</x:v>
      </x:c>
      <x:c r="K50" s="16" t="str">
        <x:v>9/16/2025</x:v>
      </x:c>
      <x:c r="L50" s="16" t="str">
        <x:v>Y</x:v>
      </x:c>
      <x:c r="M50" s="16" t="str">
        <x:v>Y</x:v>
      </x:c>
      <x:c r="N50" s="16" t="str">
        <x:v>VOC + MNA</x:v>
      </x:c>
      <x:c r="O50" s="16" t="str">
        <x:v>Complete</x:v>
      </x:c>
      <x:c r="P50" s="16" t="str">
        <x:v>2025-09-16 / WELL 23_09162025</x:v>
      </x:c>
      <x:c r="Q50" s="16" t="str">
        <x:v>N</x:v>
      </x:c>
      <x:c r="R50" s="16" t="str"/>
      <x:c r="S50" s="16" t="str"/>
      <x:c r="T50" s="16" t="str"/>
      <x:c r="U50" s="16" t="str"/>
      <x:c r="V50" s="16" t="str"/>
      <x:c r="W50" s="16" t="str"/>
      <x:c r="X50" s="16" t="str">
        <x:v>Sampled – no COC exceedance</x:v>
      </x:c>
      <x:c r="Y50" s="16" t="n">
        <x:v>3</x:v>
      </x:c>
      <x:c r="Z50" s="16" t="str">
        <x:v>Retain in optimized schedule; no escalation unless trend or exceedance trigger is identified.</x:v>
      </x:c>
      <x:c r="AA50" s="16" t="str"/>
      <x:c r="AB50" s="16" t="str"/>
      <x:c r="AC50" s="16" t="str">
        <x:v>Attachment 1A Table 1-A; AMR Tables 2-2 and 3-1</x:v>
      </x:c>
    </x:row>
    <x:row r="51" ht="45" customHeight="1">
      <x:c r="A51" s="16" t="str">
        <x:v>Well #24R</x:v>
      </x:c>
      <x:c r="B51" s="16" t="str">
        <x:v>Context / confirm with GIS site-area layer</x:v>
      </x:c>
      <x:c r="C51" s="16" t="str">
        <x:v>Intermediate</x:v>
      </x:c>
      <x:c r="D51" s="16" t="str">
        <x:v>G</x:v>
      </x:c>
      <x:c r="E51" s="16" t="str">
        <x:v>299637.07</x:v>
      </x:c>
      <x:c r="F51" s="16" t="str">
        <x:v>3266577.71</x:v>
      </x:c>
      <x:c r="G51" s="16" t="str">
        <x:v>NAD 1983 StatePlane Louisiana North FIPS 1701 Feet (US ft) - confirm with GIS</x:v>
      </x:c>
      <x:c r="H51" s="16" t="str">
        <x:v>55.4 - 64.4</x:v>
      </x:c>
      <x:c r="I51" s="16" t="str">
        <x:v>82.20</x:v>
      </x:c>
      <x:c r="J51" s="16" t="str">
        <x:v>75.86</x:v>
      </x:c>
      <x:c r="K51" s="16" t="str">
        <x:v>9/30/2025</x:v>
      </x:c>
      <x:c r="L51" s="16" t="str">
        <x:v>N</x:v>
      </x:c>
      <x:c r="M51" s="16" t="str">
        <x:v>Y</x:v>
      </x:c>
      <x:c r="N51" s="16" t="str"/>
      <x:c r="O51" s="16" t="str">
        <x:v>Gauged/inspected only</x:v>
      </x:c>
      <x:c r="P51" s="16" t="str"/>
      <x:c r="Q51" s="16" t="str">
        <x:v>N</x:v>
      </x:c>
      <x:c r="R51" s="16" t="str"/>
      <x:c r="S51" s="16" t="str"/>
      <x:c r="T51" s="16" t="str"/>
      <x:c r="U51" s="16" t="str"/>
      <x:c r="V51" s="16" t="str"/>
      <x:c r="W51" s="16" t="str"/>
      <x:c r="X51" s="16" t="str">
        <x:v>Gauging/inspection only</x:v>
      </x:c>
      <x:c r="Y51" s="16" t="n">
        <x:v>4</x:v>
      </x:c>
      <x:c r="Z51" s="16" t="str">
        <x:v>Retain for annual gauging/inspection as applicable.</x:v>
      </x:c>
      <x:c r="AA51" s="16" t="str"/>
      <x:c r="AB51" s="16" t="str"/>
      <x:c r="AC51" s="16" t="str">
        <x:v>Attachment 1A Table 1-A; AMR Tables 2-2 and 3-1</x:v>
      </x:c>
    </x:row>
    <x:row r="52" ht="45" customHeight="1">
      <x:c r="A52" s="16" t="str">
        <x:v>Well #25</x:v>
      </x:c>
      <x:c r="B52" s="16" t="str">
        <x:v>Le Tig Bayou</x:v>
      </x:c>
      <x:c r="C52" s="16" t="str">
        <x:v>Intermediate</x:v>
      </x:c>
      <x:c r="D52" s="16" t="str">
        <x:v>A</x:v>
      </x:c>
      <x:c r="E52" s="16" t="str">
        <x:v>297664.34</x:v>
      </x:c>
      <x:c r="F52" s="16" t="str">
        <x:v>3272415.36</x:v>
      </x:c>
      <x:c r="G52" s="16" t="str">
        <x:v>NAD 1983 StatePlane Louisiana North FIPS 1701 Feet (US ft) - confirm with GIS</x:v>
      </x:c>
      <x:c r="H52" s="16" t="str">
        <x:v>58 - 68</x:v>
      </x:c>
      <x:c r="I52" s="16" t="str">
        <x:v>86.61</x:v>
      </x:c>
      <x:c r="J52" s="16" t="str">
        <x:v>75.01</x:v>
      </x:c>
      <x:c r="K52" s="16" t="str">
        <x:v>9/17/2025</x:v>
      </x:c>
      <x:c r="L52" s="16" t="str">
        <x:v>Y</x:v>
      </x:c>
      <x:c r="M52" s="16" t="str">
        <x:v>Y</x:v>
      </x:c>
      <x:c r="N52" s="16" t="str">
        <x:v>VOC + MNA</x:v>
      </x:c>
      <x:c r="O52" s="16" t="str">
        <x:v>Complete</x:v>
      </x:c>
      <x:c r="P52" s="16" t="str">
        <x:v>2025-09-17 / WELL 25_09172025</x:v>
      </x:c>
      <x:c r="Q52" s="16" t="str">
        <x:v>Y</x:v>
      </x:c>
      <x:c r="R52" s="16" t="str">
        <x:v>VC</x:v>
      </x:c>
      <x:c r="S52" s="16" t="str">
        <x:v>VC = 14.0</x:v>
      </x:c>
      <x:c r="T52" s="16" t="str">
        <x:v>VC = 2</x:v>
      </x:c>
      <x:c r="U52" s="16" t="n">
        <x:v>7</x:v>
      </x:c>
      <x:c r="V52" s="16" t="str">
        <x:v>VC</x:v>
      </x:c>
      <x:c r="W52" s="16" t="n">
        <x:v>14</x:v>
      </x:c>
      <x:c r="X52" s="16" t="str">
        <x:v>VC exceedance</x:v>
      </x:c>
      <x:c r="Y52" s="16" t="n">
        <x:v>2</x:v>
      </x:c>
      <x:c r="Z52" s="16" t="str">
        <x:v>Continue annual VOC + MNA monitoring for trend confirmation.</x:v>
      </x:c>
      <x:c r="AA52" s="16" t="str"/>
      <x:c r="AB52" s="16" t="str">
        <x:v>No data-use limitation identified in preliminary table build.</x:v>
      </x:c>
      <x:c r="AC52" s="16" t="str">
        <x:v>Attachment 1A Table 1-A; AMR Tables 2-2 and 3-1</x:v>
      </x:c>
    </x:row>
    <x:row r="53" ht="45" customHeight="1">
      <x:c r="A53" s="16" t="str">
        <x:v>Well #26</x:v>
      </x:c>
      <x:c r="B53" s="16" t="str">
        <x:v>Le Tig Bayou</x:v>
      </x:c>
      <x:c r="C53" s="16" t="str">
        <x:v>Intermediate</x:v>
      </x:c>
      <x:c r="D53" s="16" t="str">
        <x:v>A</x:v>
      </x:c>
      <x:c r="E53" s="16" t="str">
        <x:v>298722.50</x:v>
      </x:c>
      <x:c r="F53" s="16" t="str">
        <x:v>3272549.66</x:v>
      </x:c>
      <x:c r="G53" s="16" t="str">
        <x:v>NAD 1983 StatePlane Louisiana North FIPS 1701 Feet (US ft) - confirm with GIS</x:v>
      </x:c>
      <x:c r="H53" s="16" t="str">
        <x:v>63 - 73</x:v>
      </x:c>
      <x:c r="I53" s="16" t="str">
        <x:v>86.94</x:v>
      </x:c>
      <x:c r="J53" s="16" t="str">
        <x:v>74.91</x:v>
      </x:c>
      <x:c r="K53" s="16" t="str">
        <x:v>9/16/2025</x:v>
      </x:c>
      <x:c r="L53" s="16" t="str">
        <x:v>Y</x:v>
      </x:c>
      <x:c r="M53" s="16" t="str">
        <x:v>Y</x:v>
      </x:c>
      <x:c r="N53" s="16" t="str">
        <x:v>VOC + MNA</x:v>
      </x:c>
      <x:c r="O53" s="16" t="str">
        <x:v>Complete</x:v>
      </x:c>
      <x:c r="P53" s="16" t="str">
        <x:v>2025-09-16 / WELL 26_09162025</x:v>
      </x:c>
      <x:c r="Q53" s="16" t="str">
        <x:v>N</x:v>
      </x:c>
      <x:c r="R53" s="16" t="str"/>
      <x:c r="S53" s="16" t="str"/>
      <x:c r="T53" s="16" t="str"/>
      <x:c r="U53" s="16" t="str"/>
      <x:c r="V53" s="16" t="str"/>
      <x:c r="W53" s="16" t="str"/>
      <x:c r="X53" s="16" t="str">
        <x:v>Sampled – no COC exceedance</x:v>
      </x:c>
      <x:c r="Y53" s="16" t="n">
        <x:v>3</x:v>
      </x:c>
      <x:c r="Z53" s="16" t="str">
        <x:v>Retain in optimized schedule; no escalation unless trend or exceedance trigger is identified.</x:v>
      </x:c>
      <x:c r="AA53" s="16" t="str"/>
      <x:c r="AB53" s="16" t="str"/>
      <x:c r="AC53" s="16" t="str">
        <x:v>Attachment 1A Table 1-A; AMR Tables 2-2 and 3-1</x:v>
      </x:c>
    </x:row>
    <x:row r="54" ht="45" customHeight="1">
      <x:c r="A54" s="16" t="str">
        <x:v>Well #27</x:v>
      </x:c>
      <x:c r="B54" s="16" t="str">
        <x:v>Context / confirm with GIS site-area layer</x:v>
      </x:c>
      <x:c r="C54" s="16" t="str">
        <x:v>Intermediate</x:v>
      </x:c>
      <x:c r="D54" s="16" t="str">
        <x:v>G</x:v>
      </x:c>
      <x:c r="E54" s="16" t="str">
        <x:v>300046.18</x:v>
      </x:c>
      <x:c r="F54" s="16" t="str">
        <x:v>3272097.40</x:v>
      </x:c>
      <x:c r="G54" s="16" t="str">
        <x:v>NAD 1983 StatePlane Louisiana North FIPS 1701 Feet (US ft) - confirm with GIS</x:v>
      </x:c>
      <x:c r="H54" s="16" t="str">
        <x:v>63 - 73</x:v>
      </x:c>
      <x:c r="I54" s="16" t="str">
        <x:v>83.09</x:v>
      </x:c>
      <x:c r="J54" s="16" t="str">
        <x:v>74.54</x:v>
      </x:c>
      <x:c r="K54" s="16" t="str">
        <x:v>9/20/2025</x:v>
      </x:c>
      <x:c r="L54" s="16" t="str">
        <x:v>N</x:v>
      </x:c>
      <x:c r="M54" s="16" t="str">
        <x:v>Y</x:v>
      </x:c>
      <x:c r="N54" s="16" t="str"/>
      <x:c r="O54" s="16" t="str">
        <x:v>Gauged/inspected only</x:v>
      </x:c>
      <x:c r="P54" s="16" t="str"/>
      <x:c r="Q54" s="16" t="str">
        <x:v>N</x:v>
      </x:c>
      <x:c r="R54" s="16" t="str"/>
      <x:c r="S54" s="16" t="str"/>
      <x:c r="T54" s="16" t="str"/>
      <x:c r="U54" s="16" t="str"/>
      <x:c r="V54" s="16" t="str"/>
      <x:c r="W54" s="16" t="str"/>
      <x:c r="X54" s="16" t="str">
        <x:v>Gauging/inspection only</x:v>
      </x:c>
      <x:c r="Y54" s="16" t="n">
        <x:v>4</x:v>
      </x:c>
      <x:c r="Z54" s="16" t="str">
        <x:v>Retain for annual gauging/inspection as applicable.</x:v>
      </x:c>
      <x:c r="AA54" s="16" t="str"/>
      <x:c r="AB54" s="16" t="str"/>
      <x:c r="AC54" s="16" t="str">
        <x:v>Attachment 1A Table 1-A; AMR Tables 2-2 and 3-1</x:v>
      </x:c>
    </x:row>
    <x:row r="55" ht="45" customHeight="1">
      <x:c r="A55" s="16" t="str">
        <x:v>Well #28</x:v>
      </x:c>
      <x:c r="B55" s="16" t="str">
        <x:v>Context / confirm with GIS site-area layer</x:v>
      </x:c>
      <x:c r="C55" s="16" t="str">
        <x:v>Intermediate</x:v>
      </x:c>
      <x:c r="D55" s="16" t="str">
        <x:v>G</x:v>
      </x:c>
      <x:c r="E55" s="16" t="str">
        <x:v>300115.05</x:v>
      </x:c>
      <x:c r="F55" s="16" t="str">
        <x:v>3271648.82</x:v>
      </x:c>
      <x:c r="G55" s="16" t="str">
        <x:v>NAD 1983 StatePlane Louisiana North FIPS 1701 Feet (US ft) - confirm with GIS</x:v>
      </x:c>
      <x:c r="H55" s="16" t="str">
        <x:v>64.6 - 74 - 6</x:v>
      </x:c>
      <x:c r="I55" s="16" t="str">
        <x:v>87.32</x:v>
      </x:c>
      <x:c r="J55" s="16" t="str">
        <x:v>74.69</x:v>
      </x:c>
      <x:c r="K55" s="16" t="str">
        <x:v>9/20/2025</x:v>
      </x:c>
      <x:c r="L55" s="16" t="str">
        <x:v>N</x:v>
      </x:c>
      <x:c r="M55" s="16" t="str">
        <x:v>Y</x:v>
      </x:c>
      <x:c r="N55" s="16" t="str"/>
      <x:c r="O55" s="16" t="str">
        <x:v>Gauged/inspected only</x:v>
      </x:c>
      <x:c r="P55" s="16" t="str"/>
      <x:c r="Q55" s="16" t="str">
        <x:v>N</x:v>
      </x:c>
      <x:c r="R55" s="16" t="str"/>
      <x:c r="S55" s="16" t="str"/>
      <x:c r="T55" s="16" t="str"/>
      <x:c r="U55" s="16" t="str"/>
      <x:c r="V55" s="16" t="str"/>
      <x:c r="W55" s="16" t="str"/>
      <x:c r="X55" s="16" t="str">
        <x:v>Gauging/inspection only</x:v>
      </x:c>
      <x:c r="Y55" s="16" t="n">
        <x:v>4</x:v>
      </x:c>
      <x:c r="Z55" s="16" t="str">
        <x:v>Retain for annual gauging/inspection as applicable.</x:v>
      </x:c>
      <x:c r="AA55" s="16" t="str"/>
      <x:c r="AB55" s="16" t="str"/>
      <x:c r="AC55" s="16" t="str">
        <x:v>Attachment 1A Table 1-A; AMR Tables 2-2 and 3-1</x:v>
      </x:c>
    </x:row>
    <x:row r="56" ht="45" customHeight="1">
      <x:c r="A56" s="16" t="str">
        <x:v>Well #29</x:v>
      </x:c>
      <x:c r="B56" s="16" t="str">
        <x:v>Context / confirm with GIS site-area layer</x:v>
      </x:c>
      <x:c r="C56" s="16" t="str">
        <x:v>Intermediate</x:v>
      </x:c>
      <x:c r="D56" s="16" t="str">
        <x:v>G</x:v>
      </x:c>
      <x:c r="E56" s="16" t="str">
        <x:v>300392.48</x:v>
      </x:c>
      <x:c r="F56" s="16" t="str">
        <x:v>3271654.25</x:v>
      </x:c>
      <x:c r="G56" s="16" t="str">
        <x:v>NAD 1983 StatePlane Louisiana North FIPS 1701 Feet (US ft) - confirm with GIS</x:v>
      </x:c>
      <x:c r="H56" s="16" t="str">
        <x:v>63 - 73</x:v>
      </x:c>
      <x:c r="I56" s="16" t="str">
        <x:v>83.04</x:v>
      </x:c>
      <x:c r="J56" s="16" t="str">
        <x:v>74.55</x:v>
      </x:c>
      <x:c r="K56" s="16" t="str">
        <x:v>9/20/2025</x:v>
      </x:c>
      <x:c r="L56" s="16" t="str">
        <x:v>N</x:v>
      </x:c>
      <x:c r="M56" s="16" t="str">
        <x:v>Y</x:v>
      </x:c>
      <x:c r="N56" s="16" t="str"/>
      <x:c r="O56" s="16" t="str">
        <x:v>Gauged/inspected only</x:v>
      </x:c>
      <x:c r="P56" s="16" t="str"/>
      <x:c r="Q56" s="16" t="str">
        <x:v>N</x:v>
      </x:c>
      <x:c r="R56" s="16" t="str"/>
      <x:c r="S56" s="16" t="str"/>
      <x:c r="T56" s="16" t="str"/>
      <x:c r="U56" s="16" t="str"/>
      <x:c r="V56" s="16" t="str"/>
      <x:c r="W56" s="16" t="str"/>
      <x:c r="X56" s="16" t="str">
        <x:v>Gauging/inspection only</x:v>
      </x:c>
      <x:c r="Y56" s="16" t="n">
        <x:v>4</x:v>
      </x:c>
      <x:c r="Z56" s="16" t="str">
        <x:v>Retain for annual gauging/inspection as applicable.</x:v>
      </x:c>
      <x:c r="AA56" s="16" t="str"/>
      <x:c r="AB56" s="16" t="str"/>
      <x:c r="AC56" s="16" t="str">
        <x:v>Attachment 1A Table 1-A; AMR Tables 2-2 and 3-1</x:v>
      </x:c>
    </x:row>
    <x:row r="57" ht="45" customHeight="1">
      <x:c r="A57" s="16" t="str">
        <x:v>A39L001PZ</x:v>
      </x:c>
      <x:c r="B57" s="16" t="str">
        <x:v>Context / confirm with GIS site-area layer</x:v>
      </x:c>
      <x:c r="C57" s="16" t="str">
        <x:v>Deep</x:v>
      </x:c>
      <x:c r="D57" s="16" t="str">
        <x:v>G</x:v>
      </x:c>
      <x:c r="E57" s="16" t="str">
        <x:v>301547.75</x:v>
      </x:c>
      <x:c r="F57" s="16" t="str">
        <x:v>3268912.00</x:v>
      </x:c>
      <x:c r="G57" s="16" t="str">
        <x:v>NAD 1983 StatePlane Louisiana North FIPS 1701 Feet (US ft) - confirm with GIS</x:v>
      </x:c>
      <x:c r="H57" s="16" t="str">
        <x:v>88.1 - 97.8</x:v>
      </x:c>
      <x:c r="I57" s="16" t="str">
        <x:v>84.29</x:v>
      </x:c>
      <x:c r="J57" s="16" t="str">
        <x:v>74.32</x:v>
      </x:c>
      <x:c r="K57" s="16" t="str">
        <x:v>9/30/2025</x:v>
      </x:c>
      <x:c r="L57" s="16" t="str">
        <x:v>N</x:v>
      </x:c>
      <x:c r="M57" s="16" t="str">
        <x:v>Y</x:v>
      </x:c>
      <x:c r="N57" s="16" t="str"/>
      <x:c r="O57" s="16" t="str">
        <x:v>Gauged/inspected only</x:v>
      </x:c>
      <x:c r="P57" s="16" t="str"/>
      <x:c r="Q57" s="16" t="str">
        <x:v>N</x:v>
      </x:c>
      <x:c r="R57" s="16" t="str"/>
      <x:c r="S57" s="16" t="str"/>
      <x:c r="T57" s="16" t="str"/>
      <x:c r="U57" s="16" t="str"/>
      <x:c r="V57" s="16" t="str"/>
      <x:c r="W57" s="16" t="str"/>
      <x:c r="X57" s="16" t="str">
        <x:v>Gauging/inspection only</x:v>
      </x:c>
      <x:c r="Y57" s="16" t="n">
        <x:v>4</x:v>
      </x:c>
      <x:c r="Z57" s="16" t="str">
        <x:v>Retain for annual gauging/inspection as applicable.</x:v>
      </x:c>
      <x:c r="AA57" s="16" t="str"/>
      <x:c r="AB57" s="16" t="str"/>
      <x:c r="AC57" s="16" t="str">
        <x:v>Attachment 1A Table 1-A; AMR Tables 2-2 and 3-1</x:v>
      </x:c>
    </x:row>
    <x:row r="58" ht="45" customHeight="1">
      <x:c r="A58" s="16" t="str">
        <x:v>A39L002PZ</x:v>
      </x:c>
      <x:c r="B58" s="16" t="str">
        <x:v>Context / confirm with GIS site-area layer</x:v>
      </x:c>
      <x:c r="C58" s="16" t="str">
        <x:v>Deep</x:v>
      </x:c>
      <x:c r="D58" s="16" t="str">
        <x:v>G</x:v>
      </x:c>
      <x:c r="E58" s="16" t="str">
        <x:v>300715.42</x:v>
      </x:c>
      <x:c r="F58" s="16" t="str">
        <x:v>3267308.72</x:v>
      </x:c>
      <x:c r="G58" s="16" t="str">
        <x:v>NAD 1983 StatePlane Louisiana North FIPS 1701 Feet (US ft) - confirm with GIS</x:v>
      </x:c>
      <x:c r="H58" s="16" t="str">
        <x:v>95.5 - 105.5</x:v>
      </x:c>
      <x:c r="I58" s="16" t="str">
        <x:v>82.13</x:v>
      </x:c>
      <x:c r="J58" s="16" t="str">
        <x:v>74.17</x:v>
      </x:c>
      <x:c r="K58" s="16" t="str">
        <x:v>10/1/2025</x:v>
      </x:c>
      <x:c r="L58" s="16" t="str">
        <x:v>N</x:v>
      </x:c>
      <x:c r="M58" s="16" t="str">
        <x:v>Y</x:v>
      </x:c>
      <x:c r="N58" s="16" t="str"/>
      <x:c r="O58" s="16" t="str">
        <x:v>Gauged/inspected only</x:v>
      </x:c>
      <x:c r="P58" s="16" t="str"/>
      <x:c r="Q58" s="16" t="str">
        <x:v>N</x:v>
      </x:c>
      <x:c r="R58" s="16" t="str"/>
      <x:c r="S58" s="16" t="str"/>
      <x:c r="T58" s="16" t="str"/>
      <x:c r="U58" s="16" t="str"/>
      <x:c r="V58" s="16" t="str"/>
      <x:c r="W58" s="16" t="str"/>
      <x:c r="X58" s="16" t="str">
        <x:v>Gauging/inspection only</x:v>
      </x:c>
      <x:c r="Y58" s="16" t="n">
        <x:v>4</x:v>
      </x:c>
      <x:c r="Z58" s="16" t="str">
        <x:v>Retain for annual gauging/inspection as applicable.</x:v>
      </x:c>
      <x:c r="AA58" s="16" t="str"/>
      <x:c r="AB58" s="16" t="str"/>
      <x:c r="AC58" s="16" t="str">
        <x:v>Attachment 1A Table 1-A; AMR Tables 2-2 and 3-1</x:v>
      </x:c>
    </x:row>
    <x:row r="59" ht="45" customHeight="1">
      <x:c r="A59" s="16" t="str">
        <x:v>A39L003PZ</x:v>
      </x:c>
      <x:c r="B59" s="16" t="str">
        <x:v>Context / confirm with GIS site-area layer</x:v>
      </x:c>
      <x:c r="C59" s="16" t="str">
        <x:v>Deep</x:v>
      </x:c>
      <x:c r="D59" s="16" t="str">
        <x:v>G</x:v>
      </x:c>
      <x:c r="E59" s="16" t="str">
        <x:v>299941.47</x:v>
      </x:c>
      <x:c r="F59" s="16" t="str">
        <x:v>3267905.73</x:v>
      </x:c>
      <x:c r="G59" s="16" t="str">
        <x:v>NAD 1983 StatePlane Louisiana North FIPS 1701 Feet (US ft) - confirm with GIS</x:v>
      </x:c>
      <x:c r="H59" s="16" t="str">
        <x:v>110 - 120</x:v>
      </x:c>
      <x:c r="I59" s="16" t="str">
        <x:v>86.94</x:v>
      </x:c>
      <x:c r="J59" s="16" t="str">
        <x:v>74.56</x:v>
      </x:c>
      <x:c r="K59" s="16" t="str">
        <x:v>9/19/2025</x:v>
      </x:c>
      <x:c r="L59" s="16" t="str">
        <x:v>N</x:v>
      </x:c>
      <x:c r="M59" s="16" t="str">
        <x:v>Y</x:v>
      </x:c>
      <x:c r="N59" s="16" t="str"/>
      <x:c r="O59" s="16" t="str">
        <x:v>Gauged/inspected only</x:v>
      </x:c>
      <x:c r="P59" s="16" t="str"/>
      <x:c r="Q59" s="16" t="str">
        <x:v>N</x:v>
      </x:c>
      <x:c r="R59" s="16" t="str"/>
      <x:c r="S59" s="16" t="str"/>
      <x:c r="T59" s="16" t="str"/>
      <x:c r="U59" s="16" t="str"/>
      <x:c r="V59" s="16" t="str"/>
      <x:c r="W59" s="16" t="str"/>
      <x:c r="X59" s="16" t="str">
        <x:v>Gauging/inspection only</x:v>
      </x:c>
      <x:c r="Y59" s="16" t="n">
        <x:v>4</x:v>
      </x:c>
      <x:c r="Z59" s="16" t="str">
        <x:v>Retain for annual gauging/inspection as applicable.</x:v>
      </x:c>
      <x:c r="AA59" s="16" t="str"/>
      <x:c r="AB59" s="16" t="str"/>
      <x:c r="AC59" s="16" t="str">
        <x:v>Attachment 1A Table 1-A; AMR Tables 2-2 and 3-1</x:v>
      </x:c>
    </x:row>
    <x:row r="60" ht="45" customHeight="1">
      <x:c r="A60" s="16" t="str">
        <x:v>A39L007PZ</x:v>
      </x:c>
      <x:c r="B60" s="16" t="str">
        <x:v>North Apron</x:v>
      </x:c>
      <x:c r="C60" s="16" t="str">
        <x:v>Deep</x:v>
      </x:c>
      <x:c r="D60" s="16" t="str">
        <x:v>B</x:v>
      </x:c>
      <x:c r="E60" s="16" t="str">
        <x:v>299901.15</x:v>
      </x:c>
      <x:c r="F60" s="16" t="str">
        <x:v>3269422.49</x:v>
      </x:c>
      <x:c r="G60" s="16" t="str">
        <x:v>NAD 1983 StatePlane Louisiana North FIPS 1701 Feet (US ft) - confirm with GIS</x:v>
      </x:c>
      <x:c r="H60" s="16" t="str">
        <x:v>105.2 - 115</x:v>
      </x:c>
      <x:c r="I60" s="16" t="str">
        <x:v>84.73</x:v>
      </x:c>
      <x:c r="J60" s="16" t="str">
        <x:v>74.62</x:v>
      </x:c>
      <x:c r="K60" s="16" t="str">
        <x:v>9/19/2025</x:v>
      </x:c>
      <x:c r="L60" s="16" t="str">
        <x:v>Y</x:v>
      </x:c>
      <x:c r="M60" s="16" t="str">
        <x:v>Y</x:v>
      </x:c>
      <x:c r="N60" s="16" t="str">
        <x:v>VOC</x:v>
      </x:c>
      <x:c r="O60" s="16" t="str">
        <x:v>Complete</x:v>
      </x:c>
      <x:c r="P60" s="16" t="str">
        <x:v>2025-09-19 / A39L007PZ_09192025</x:v>
      </x:c>
      <x:c r="Q60" s="16" t="str">
        <x:v>N</x:v>
      </x:c>
      <x:c r="R60" s="16" t="str"/>
      <x:c r="S60" s="16" t="str"/>
      <x:c r="T60" s="16" t="str"/>
      <x:c r="U60" s="16" t="str"/>
      <x:c r="V60" s="16" t="str"/>
      <x:c r="W60" s="16" t="str"/>
      <x:c r="X60" s="16" t="str">
        <x:v>Sampled – no COC exceedance</x:v>
      </x:c>
      <x:c r="Y60" s="16" t="n">
        <x:v>3</x:v>
      </x:c>
      <x:c r="Z60" s="16" t="str">
        <x:v>Retain in optimized schedule; no escalation unless trend or exceedance trigger is identified.</x:v>
      </x:c>
      <x:c r="AA60" s="16" t="str"/>
      <x:c r="AB60" s="16" t="str"/>
      <x:c r="AC60" s="16" t="str">
        <x:v>Attachment 1A Table 1-A; AMR Tables 2-2 and 3-1</x:v>
      </x:c>
    </x:row>
    <x:row r="61" ht="45" customHeight="1">
      <x:c r="A61" s="16" t="str">
        <x:v>A39L008PZ</x:v>
      </x:c>
      <x:c r="B61" s="16" t="str">
        <x:v>Context / confirm with GIS site-area layer</x:v>
      </x:c>
      <x:c r="C61" s="16" t="str">
        <x:v>Deep</x:v>
      </x:c>
      <x:c r="D61" s="16" t="str">
        <x:v>G</x:v>
      </x:c>
      <x:c r="E61" s="16" t="str">
        <x:v>301080.28</x:v>
      </x:c>
      <x:c r="F61" s="16" t="str">
        <x:v>3269764.50</x:v>
      </x:c>
      <x:c r="G61" s="16" t="str">
        <x:v>NAD 1983 StatePlane Louisiana North FIPS 1701 Feet (US ft) - confirm with GIS</x:v>
      </x:c>
      <x:c r="H61" s="16" t="str">
        <x:v>108 - 118</x:v>
      </x:c>
      <x:c r="I61" s="16" t="str">
        <x:v>85.09</x:v>
      </x:c>
      <x:c r="J61" s="16" t="str">
        <x:v>74.52</x:v>
      </x:c>
      <x:c r="K61" s="16" t="str">
        <x:v>9/20/2025</x:v>
      </x:c>
      <x:c r="L61" s="16" t="str">
        <x:v>N</x:v>
      </x:c>
      <x:c r="M61" s="16" t="str">
        <x:v>Y</x:v>
      </x:c>
      <x:c r="N61" s="16" t="str"/>
      <x:c r="O61" s="16" t="str">
        <x:v>Gauged/inspected only</x:v>
      </x:c>
      <x:c r="P61" s="16" t="str"/>
      <x:c r="Q61" s="16" t="str">
        <x:v>N</x:v>
      </x:c>
      <x:c r="R61" s="16" t="str"/>
      <x:c r="S61" s="16" t="str"/>
      <x:c r="T61" s="16" t="str"/>
      <x:c r="U61" s="16" t="str"/>
      <x:c r="V61" s="16" t="str"/>
      <x:c r="W61" s="16" t="str"/>
      <x:c r="X61" s="16" t="str">
        <x:v>Gauging/inspection only</x:v>
      </x:c>
      <x:c r="Y61" s="16" t="n">
        <x:v>4</x:v>
      </x:c>
      <x:c r="Z61" s="16" t="str">
        <x:v>Retain for annual gauging/inspection as applicable.</x:v>
      </x:c>
      <x:c r="AA61" s="16" t="str"/>
      <x:c r="AB61" s="16" t="str"/>
      <x:c r="AC61" s="16" t="str">
        <x:v>Attachment 1A Table 1-A; AMR Tables 2-2 and 3-1</x:v>
      </x:c>
    </x:row>
    <x:row r="62" ht="45" customHeight="1">
      <x:c r="A62" s="16" t="str">
        <x:v>A39L020PZ</x:v>
      </x:c>
      <x:c r="B62" s="16" t="str">
        <x:v>Context / confirm with GIS site-area layer</x:v>
      </x:c>
      <x:c r="C62" s="16" t="str">
        <x:v>Deep</x:v>
      </x:c>
      <x:c r="D62" s="16" t="str">
        <x:v>G</x:v>
      </x:c>
      <x:c r="E62" s="16" t="str">
        <x:v>299448.04</x:v>
      </x:c>
      <x:c r="F62" s="16" t="str">
        <x:v>3271157.53</x:v>
      </x:c>
      <x:c r="G62" s="16" t="str">
        <x:v>NAD 1983 StatePlane Louisiana North FIPS 1701 Feet (US ft) - confirm with GIS</x:v>
      </x:c>
      <x:c r="H62" s="16" t="str">
        <x:v>110 - 120</x:v>
      </x:c>
      <x:c r="I62" s="16" t="str">
        <x:v>87.94</x:v>
      </x:c>
      <x:c r="J62" s="16" t="str">
        <x:v>74.60</x:v>
      </x:c>
      <x:c r="K62" s="16" t="str">
        <x:v>9/20/2025</x:v>
      </x:c>
      <x:c r="L62" s="16" t="str">
        <x:v>N</x:v>
      </x:c>
      <x:c r="M62" s="16" t="str">
        <x:v>Y</x:v>
      </x:c>
      <x:c r="N62" s="16" t="str"/>
      <x:c r="O62" s="16" t="str">
        <x:v>Gauged/inspected only</x:v>
      </x:c>
      <x:c r="P62" s="16" t="str"/>
      <x:c r="Q62" s="16" t="str">
        <x:v>N</x:v>
      </x:c>
      <x:c r="R62" s="16" t="str"/>
      <x:c r="S62" s="16" t="str"/>
      <x:c r="T62" s="16" t="str"/>
      <x:c r="U62" s="16" t="str"/>
      <x:c r="V62" s="16" t="str"/>
      <x:c r="W62" s="16" t="str"/>
      <x:c r="X62" s="16" t="str">
        <x:v>Gauging/inspection only</x:v>
      </x:c>
      <x:c r="Y62" s="16" t="n">
        <x:v>4</x:v>
      </x:c>
      <x:c r="Z62" s="16" t="str">
        <x:v>Retain for annual gauging/inspection as applicable.</x:v>
      </x:c>
      <x:c r="AA62" s="16" t="str"/>
      <x:c r="AB62" s="16" t="str"/>
      <x:c r="AC62" s="16" t="str">
        <x:v>Attachment 1A Table 1-A; AMR Tables 2-2 and 3-1</x:v>
      </x:c>
    </x:row>
    <x:row r="63" ht="45" customHeight="1">
      <x:c r="A63" s="16" t="str">
        <x:v>A39L022PZ</x:v>
      </x:c>
      <x:c r="B63" s="16" t="str">
        <x:v>Context / confirm with GIS site-area layer</x:v>
      </x:c>
      <x:c r="C63" s="16" t="str">
        <x:v>Deep</x:v>
      </x:c>
      <x:c r="D63" s="16" t="str">
        <x:v>G</x:v>
      </x:c>
      <x:c r="E63" s="16" t="str">
        <x:v>298608.69</x:v>
      </x:c>
      <x:c r="F63" s="16" t="str">
        <x:v>3269447.96</x:v>
      </x:c>
      <x:c r="G63" s="16" t="str">
        <x:v>NAD 1983 StatePlane Louisiana North FIPS 1701 Feet (US ft) - confirm with GIS</x:v>
      </x:c>
      <x:c r="H63" s="16" t="str">
        <x:v>110 - 119.8</x:v>
      </x:c>
      <x:c r="I63" s="16" t="str">
        <x:v>86.23</x:v>
      </x:c>
      <x:c r="J63" s="16" t="str">
        <x:v>74.32</x:v>
      </x:c>
      <x:c r="K63" s="16" t="str">
        <x:v>10/1/2025</x:v>
      </x:c>
      <x:c r="L63" s="16" t="str">
        <x:v>N</x:v>
      </x:c>
      <x:c r="M63" s="16" t="str">
        <x:v>Y</x:v>
      </x:c>
      <x:c r="N63" s="16" t="str"/>
      <x:c r="O63" s="16" t="str">
        <x:v>Gauged/inspected only</x:v>
      </x:c>
      <x:c r="P63" s="16" t="str"/>
      <x:c r="Q63" s="16" t="str">
        <x:v>N</x:v>
      </x:c>
      <x:c r="R63" s="16" t="str"/>
      <x:c r="S63" s="16" t="str"/>
      <x:c r="T63" s="16" t="str"/>
      <x:c r="U63" s="16" t="str"/>
      <x:c r="V63" s="16" t="str"/>
      <x:c r="W63" s="16" t="str"/>
      <x:c r="X63" s="16" t="str">
        <x:v>Gauging/inspection only</x:v>
      </x:c>
      <x:c r="Y63" s="16" t="n">
        <x:v>4</x:v>
      </x:c>
      <x:c r="Z63" s="16" t="str">
        <x:v>Retain for annual gauging/inspection as applicable.</x:v>
      </x:c>
      <x:c r="AA63" s="16" t="str"/>
      <x:c r="AB63" s="16" t="str"/>
      <x:c r="AC63" s="16" t="str">
        <x:v>Attachment 1A Table 1-A; AMR Tables 2-2 and 3-1</x:v>
      </x:c>
    </x:row>
    <x:row r="64" ht="45" customHeight="1">
      <x:c r="A64" s="16" t="str">
        <x:v>A39L027DP</x:v>
      </x:c>
      <x:c r="B64" s="16" t="str">
        <x:v>North Apron</x:v>
      </x:c>
      <x:c r="C64" s="16" t="str">
        <x:v>Deep</x:v>
      </x:c>
      <x:c r="D64" s="16" t="str">
        <x:v>A</x:v>
      </x:c>
      <x:c r="E64" s="16" t="str">
        <x:v>300405.08</x:v>
      </x:c>
      <x:c r="F64" s="16" t="str">
        <x:v>3268539.69</x:v>
      </x:c>
      <x:c r="G64" s="16" t="str">
        <x:v>NAD 1983 StatePlane Louisiana North FIPS 1701 Feet (US ft) - confirm with GIS</x:v>
      </x:c>
      <x:c r="H64" s="16" t="str">
        <x:v>111 - 121</x:v>
      </x:c>
      <x:c r="I64" s="16" t="str">
        <x:v>83.62</x:v>
      </x:c>
      <x:c r="J64" s="16" t="str">
        <x:v>74.55</x:v>
      </x:c>
      <x:c r="K64" s="16" t="str">
        <x:v>9/18/2025</x:v>
      </x:c>
      <x:c r="L64" s="16" t="str">
        <x:v>Y</x:v>
      </x:c>
      <x:c r="M64" s="16" t="str">
        <x:v>Y</x:v>
      </x:c>
      <x:c r="N64" s="16" t="str">
        <x:v>VOC</x:v>
      </x:c>
      <x:c r="O64" s="16" t="str">
        <x:v>Complete</x:v>
      </x:c>
      <x:c r="P64" s="16" t="str">
        <x:v>2025-09-18 / A39L027DP_09182025</x:v>
      </x:c>
      <x:c r="Q64" s="16" t="str">
        <x:v>N</x:v>
      </x:c>
      <x:c r="R64" s="16" t="str"/>
      <x:c r="S64" s="16" t="str"/>
      <x:c r="T64" s="16" t="str"/>
      <x:c r="U64" s="16" t="str"/>
      <x:c r="V64" s="16" t="str"/>
      <x:c r="W64" s="16" t="str"/>
      <x:c r="X64" s="16" t="str">
        <x:v>Sampled – no COC exceedance</x:v>
      </x:c>
      <x:c r="Y64" s="16" t="n">
        <x:v>3</x:v>
      </x:c>
      <x:c r="Z64" s="16" t="str">
        <x:v>Retain in optimized schedule; no escalation unless trend or exceedance trigger is identified.</x:v>
      </x:c>
      <x:c r="AA64" s="16" t="str"/>
      <x:c r="AB64" s="16" t="str"/>
      <x:c r="AC64" s="16" t="str">
        <x:v>Attachment 1A Table 1-A; AMR Tables 2-2 and 3-1</x:v>
      </x:c>
    </x:row>
    <x:row r="65" ht="45" customHeight="1">
      <x:c r="A65" s="16" t="str">
        <x:v>A39L028DP</x:v>
      </x:c>
      <x:c r="B65" s="16" t="str">
        <x:v>North Apron</x:v>
      </x:c>
      <x:c r="C65" s="16" t="str">
        <x:v>Deep</x:v>
      </x:c>
      <x:c r="D65" s="16" t="str">
        <x:v>A</x:v>
      </x:c>
      <x:c r="E65" s="16" t="str">
        <x:v>300821.04</x:v>
      </x:c>
      <x:c r="F65" s="16" t="str">
        <x:v>3269109.19</x:v>
      </x:c>
      <x:c r="G65" s="16" t="str">
        <x:v>NAD 1983 StatePlane Louisiana North FIPS 1701 Feet (US ft) - confirm with GIS</x:v>
      </x:c>
      <x:c r="H65" s="16" t="str">
        <x:v>113.4 - 123.4</x:v>
      </x:c>
      <x:c r="I65" s="16" t="str">
        <x:v>84.84</x:v>
      </x:c>
      <x:c r="J65" s="16" t="str">
        <x:v>74.53</x:v>
      </x:c>
      <x:c r="K65" s="16" t="str">
        <x:v>9/18/2025</x:v>
      </x:c>
      <x:c r="L65" s="16" t="str">
        <x:v>Y</x:v>
      </x:c>
      <x:c r="M65" s="16" t="str">
        <x:v>Y</x:v>
      </x:c>
      <x:c r="N65" s="16" t="str">
        <x:v>VOC + MNA</x:v>
      </x:c>
      <x:c r="O65" s="16" t="str">
        <x:v>Complete</x:v>
      </x:c>
      <x:c r="P65" s="16" t="str">
        <x:v>2025-09-18 / A39L028DP_09182025</x:v>
      </x:c>
      <x:c r="Q65" s="16" t="str">
        <x:v>Y</x:v>
      </x:c>
      <x:c r="R65" s="16" t="str">
        <x:v>VC</x:v>
      </x:c>
      <x:c r="S65" s="16" t="str">
        <x:v>VC = 7.3</x:v>
      </x:c>
      <x:c r="T65" s="16" t="str">
        <x:v>VC = 2</x:v>
      </x:c>
      <x:c r="U65" s="16" t="n">
        <x:v>3.65</x:v>
      </x:c>
      <x:c r="V65" s="16" t="str">
        <x:v>VC</x:v>
      </x:c>
      <x:c r="W65" s="16" t="n">
        <x:v>7.3</x:v>
      </x:c>
      <x:c r="X65" s="16" t="str">
        <x:v>VC exceedance</x:v>
      </x:c>
      <x:c r="Y65" s="16" t="n">
        <x:v>2</x:v>
      </x:c>
      <x:c r="Z65" s="16" t="str">
        <x:v>Continue annual VOC + MNA monitoring for trend confirmation.</x:v>
      </x:c>
      <x:c r="AA65" s="16" t="str"/>
      <x:c r="AB65" s="16" t="str">
        <x:v>No data-use limitation identified in preliminary table build.</x:v>
      </x:c>
      <x:c r="AC65" s="16" t="str">
        <x:v>Attachment 1A Table 1-A; AMR Tables 2-2 and 3-1</x:v>
      </x:c>
    </x:row>
    <x:row r="66" ht="45" customHeight="1">
      <x:c r="A66" s="16" t="str">
        <x:v>A39L082DP</x:v>
      </x:c>
      <x:c r="B66" s="16" t="str">
        <x:v>Le Tig Bayou</x:v>
      </x:c>
      <x:c r="C66" s="16" t="str">
        <x:v>Deep</x:v>
      </x:c>
      <x:c r="D66" s="16" t="str">
        <x:v>B</x:v>
      </x:c>
      <x:c r="E66" s="16" t="str">
        <x:v>298809.87</x:v>
      </x:c>
      <x:c r="F66" s="16" t="str">
        <x:v>3271767.17</x:v>
      </x:c>
      <x:c r="G66" s="16" t="str">
        <x:v>NAD 1983 StatePlane Louisiana North FIPS 1701 Feet (US ft) - confirm with GIS</x:v>
      </x:c>
      <x:c r="H66" s="16" t="str">
        <x:v>108.3 - 118.3</x:v>
      </x:c>
      <x:c r="I66" s="16" t="str">
        <x:v>87.19</x:v>
      </x:c>
      <x:c r="J66" s="16" t="str">
        <x:v>73.69</x:v>
      </x:c>
      <x:c r="K66" s="16" t="str">
        <x:v>9/17/2025</x:v>
      </x:c>
      <x:c r="L66" s="16" t="str">
        <x:v>Y</x:v>
      </x:c>
      <x:c r="M66" s="16" t="str">
        <x:v>Y</x:v>
      </x:c>
      <x:c r="N66" s="16" t="str">
        <x:v>VOC</x:v>
      </x:c>
      <x:c r="O66" s="16" t="str">
        <x:v>Complete</x:v>
      </x:c>
      <x:c r="P66" s="16" t="str">
        <x:v>2025-09-17 / A39L082DP_09172025</x:v>
      </x:c>
      <x:c r="Q66" s="16" t="str">
        <x:v>N</x:v>
      </x:c>
      <x:c r="R66" s="16" t="str"/>
      <x:c r="S66" s="16" t="str"/>
      <x:c r="T66" s="16" t="str"/>
      <x:c r="U66" s="16" t="str"/>
      <x:c r="V66" s="16" t="str"/>
      <x:c r="W66" s="16" t="str"/>
      <x:c r="X66" s="16" t="str">
        <x:v>Sampled – no COC exceedance</x:v>
      </x:c>
      <x:c r="Y66" s="16" t="n">
        <x:v>3</x:v>
      </x:c>
      <x:c r="Z66" s="16" t="str">
        <x:v>Retain in optimized schedule; no escalation unless trend or exceedance trigger is identified.</x:v>
      </x:c>
      <x:c r="AA66" s="16" t="str"/>
      <x:c r="AB66" s="16" t="str"/>
      <x:c r="AC66" s="16" t="str">
        <x:v>Attachment 1A Table 1-A; AMR Tables 2-2 and 3-1</x:v>
      </x:c>
    </x:row>
    <x:row r="67" ht="45" customHeight="1">
      <x:c r="A67" s="16" t="str">
        <x:v>A39L092DP</x:v>
      </x:c>
      <x:c r="B67" s="16" t="str">
        <x:v>Le Tig Bayou</x:v>
      </x:c>
      <x:c r="C67" s="16" t="str">
        <x:v>Deep</x:v>
      </x:c>
      <x:c r="D67" s="16" t="str">
        <x:v>B</x:v>
      </x:c>
      <x:c r="E67" s="16" t="str">
        <x:v>301563.20</x:v>
      </x:c>
      <x:c r="F67" s="16" t="str">
        <x:v>3268938.72</x:v>
      </x:c>
      <x:c r="G67" s="16" t="str">
        <x:v>NAD 1983 StatePlane Louisiana North FIPS 1701 Feet (US ft) - confirm with GIS</x:v>
      </x:c>
      <x:c r="H67" s="16" t="str">
        <x:v>113 - 123</x:v>
      </x:c>
      <x:c r="I67" s="16" t="str">
        <x:v>88.27</x:v>
      </x:c>
      <x:c r="J67" s="16" t="str">
        <x:v>74.74</x:v>
      </x:c>
      <x:c r="K67" s="16" t="str">
        <x:v>9/18/2025</x:v>
      </x:c>
      <x:c r="L67" s="16" t="str">
        <x:v>Y</x:v>
      </x:c>
      <x:c r="M67" s="16" t="str">
        <x:v>Y</x:v>
      </x:c>
      <x:c r="N67" s="16" t="str">
        <x:v>VOC + MNA</x:v>
      </x:c>
      <x:c r="O67" s="16" t="str">
        <x:v>Complete – duplicate collected</x:v>
      </x:c>
      <x:c r="P67" s="16" t="str">
        <x:v>2025-09-18 / A39L092DP_09182025; duplicate A39L092DP_09182025B</x:v>
      </x:c>
      <x:c r="Q67" s="16" t="str">
        <x:v>N</x:v>
      </x:c>
      <x:c r="R67" s="16" t="str"/>
      <x:c r="S67" s="16" t="str"/>
      <x:c r="T67" s="16" t="str"/>
      <x:c r="U67" s="16" t="str"/>
      <x:c r="V67" s="16" t="str"/>
      <x:c r="W67" s="16" t="str"/>
      <x:c r="X67" s="16" t="str">
        <x:v>Sampled – no COC exceedance</x:v>
      </x:c>
      <x:c r="Y67" s="16" t="n">
        <x:v>3</x:v>
      </x:c>
      <x:c r="Z67" s="16" t="str">
        <x:v>Retain in optimized schedule; no escalation unless trend or exceedance trigger is identified.</x:v>
      </x:c>
      <x:c r="AA67" s="16" t="str">
        <x:v>Data-use limitations for VOC nondetects and selected MNA parameters will be carried in the data-usability table.</x:v>
      </x:c>
      <x:c r="AB67" s="16" t="str"/>
      <x:c r="AC67" s="16" t="str">
        <x:v>Attachment 1A Table 1-A; AMR Tables 2-2 and 3-1</x:v>
      </x:c>
    </x:row>
    <x:row r="68" ht="45" customHeight="1">
      <x:c r="A68" s="16" t="str">
        <x:v>A39MW094</x:v>
      </x:c>
      <x:c r="B68" s="16" t="str">
        <x:v>North Apron</x:v>
      </x:c>
      <x:c r="C68" s="16" t="str">
        <x:v>Deep</x:v>
      </x:c>
      <x:c r="D68" s="16" t="str">
        <x:v>A</x:v>
      </x:c>
      <x:c r="E68" s="16" t="str">
        <x:v>301809.02</x:v>
      </x:c>
      <x:c r="F68" s="16" t="str">
        <x:v>3268955.65</x:v>
      </x:c>
      <x:c r="G68" s="16" t="str">
        <x:v>NAD 1983 StatePlane Louisiana North FIPS 1701 Feet (US ft) - confirm with GIS</x:v>
      </x:c>
      <x:c r="H68" s="16" t="str">
        <x:v>91 - 101</x:v>
      </x:c>
      <x:c r="I68" s="16" t="str">
        <x:v>84.29</x:v>
      </x:c>
      <x:c r="J68" s="16" t="str">
        <x:v>75.84</x:v>
      </x:c>
      <x:c r="K68" s="16" t="str">
        <x:v>10/7/2025</x:v>
      </x:c>
      <x:c r="L68" s="16" t="str">
        <x:v>Y</x:v>
      </x:c>
      <x:c r="M68" s="16" t="str">
        <x:v>Y</x:v>
      </x:c>
      <x:c r="N68" s="16" t="str">
        <x:v>VOC + MNA</x:v>
      </x:c>
      <x:c r="O68" s="16" t="str">
        <x:v>Complete</x:v>
      </x:c>
      <x:c r="P68" s="16" t="str">
        <x:v>2025-10-07 / A39MW094_10072025</x:v>
      </x:c>
      <x:c r="Q68" s="16" t="str">
        <x:v>Y</x:v>
      </x:c>
      <x:c r="R68" s="16" t="str">
        <x:v>cis-1,2-DCE; VC</x:v>
      </x:c>
      <x:c r="S68" s="16" t="str">
        <x:v>cis-1,2-DCE = 99.3; VC = 12.5</x:v>
      </x:c>
      <x:c r="T68" s="16" t="str">
        <x:v>cis-1,2-DCE = 70; VC = 2</x:v>
      </x:c>
      <x:c r="U68" s="16" t="n">
        <x:v>6.25</x:v>
      </x:c>
      <x:c r="V68" s="16" t="str">
        <x:v>VC</x:v>
      </x:c>
      <x:c r="W68" s="16" t="n">
        <x:v>12.5</x:v>
      </x:c>
      <x:c r="X68" s="16" t="str">
        <x:v>Multi-COC exceedance</x:v>
      </x:c>
      <x:c r="Y68" s="16" t="n">
        <x:v>2</x:v>
      </x:c>
      <x:c r="Z68" s="16" t="str">
        <x:v>Continue annual VOC + MNA monitoring for trend confirmation.</x:v>
      </x:c>
      <x:c r="AA68" s="16" t="str"/>
      <x:c r="AB68" s="16" t="str">
        <x:v>No data-use limitation identified in preliminary table build.</x:v>
      </x:c>
      <x:c r="AC68" s="16" t="str">
        <x:v>Attachment 1A Table 1-A; AMR Tables 2-2 and 3-1</x:v>
      </x:c>
    </x:row>
    <x:row r="69" ht="45" customHeight="1">
      <x:c r="A69" s="16" t="str">
        <x:v>SS45L002MW</x:v>
      </x:c>
      <x:c r="B69" s="16" t="str">
        <x:v>North Apron</x:v>
      </x:c>
      <x:c r="C69" s="16" t="str">
        <x:v>Deep</x:v>
      </x:c>
      <x:c r="D69" s="16" t="str">
        <x:v>A</x:v>
      </x:c>
      <x:c r="E69" s="16" t="str">
        <x:v>301809.02</x:v>
      </x:c>
      <x:c r="F69" s="16" t="str">
        <x:v>3268955.65</x:v>
      </x:c>
      <x:c r="G69" s="16" t="str">
        <x:v>NAD 1983 StatePlane Louisiana North FIPS 1701 Feet (US ft) - confirm with GIS</x:v>
      </x:c>
      <x:c r="H69" s="16" t="str">
        <x:v>89 - 99</x:v>
      </x:c>
      <x:c r="I69" s="16" t="str">
        <x:v>83.08</x:v>
      </x:c>
      <x:c r="J69" s="16" t="str">
        <x:v>74.28</x:v>
      </x:c>
      <x:c r="K69" s="16" t="str">
        <x:v>10/7/2025</x:v>
      </x:c>
      <x:c r="L69" s="16" t="str">
        <x:v>Y</x:v>
      </x:c>
      <x:c r="M69" s="16" t="str">
        <x:v>Y</x:v>
      </x:c>
      <x:c r="N69" s="16" t="str">
        <x:v>VOC + MNA</x:v>
      </x:c>
      <x:c r="O69" s="16" t="str">
        <x:v>Complete</x:v>
      </x:c>
      <x:c r="P69" s="16" t="str">
        <x:v>2025-10-07 / SS45L002MW_10072025</x:v>
      </x:c>
      <x:c r="Q69" s="16" t="str">
        <x:v>Y</x:v>
      </x:c>
      <x:c r="R69" s="16" t="str">
        <x:v>VC</x:v>
      </x:c>
      <x:c r="S69" s="16" t="str">
        <x:v>VC = 3.7</x:v>
      </x:c>
      <x:c r="T69" s="16" t="str">
        <x:v>VC = 2</x:v>
      </x:c>
      <x:c r="U69" s="16" t="n">
        <x:v>1.85</x:v>
      </x:c>
      <x:c r="V69" s="16" t="str">
        <x:v>VC</x:v>
      </x:c>
      <x:c r="W69" s="16" t="n">
        <x:v>3.7</x:v>
      </x:c>
      <x:c r="X69" s="16" t="str">
        <x:v>VC exceedance</x:v>
      </x:c>
      <x:c r="Y69" s="16" t="n">
        <x:v>2</x:v>
      </x:c>
      <x:c r="Z69" s="16" t="str">
        <x:v>Continue annual VOC + MNA monitoring for trend confirmation.</x:v>
      </x:c>
      <x:c r="AA69" s="16" t="str"/>
      <x:c r="AB69" s="16" t="str">
        <x:v>No data-use limitation identified in preliminary table build.</x:v>
      </x:c>
      <x:c r="AC69" s="16" t="str">
        <x:v>Attachment 1A Table 1-A; AMR Tables 2-2 and 3-1</x:v>
      </x:c>
    </x:row>
    <x:row r="70" ht="45" customHeight="1">
      <x:c r="A70" s="16" t="str">
        <x:v>SS45L007MW</x:v>
      </x:c>
      <x:c r="B70" s="16" t="str">
        <x:v>North Apron</x:v>
      </x:c>
      <x:c r="C70" s="16" t="str">
        <x:v>Deep</x:v>
      </x:c>
      <x:c r="D70" s="16" t="str">
        <x:v>G</x:v>
      </x:c>
      <x:c r="E70" s="16" t="str">
        <x:v>302569.21</x:v>
      </x:c>
      <x:c r="F70" s="16" t="str">
        <x:v>3269208.89</x:v>
      </x:c>
      <x:c r="G70" s="16" t="str">
        <x:v>NAD 1983 StatePlane Louisiana North FIPS 1701 Feet (US ft) - confirm with GIS</x:v>
      </x:c>
      <x:c r="H70" s="16" t="str">
        <x:v>94 - 104</x:v>
      </x:c>
      <x:c r="I70" s="16" t="str">
        <x:v>80.88</x:v>
      </x:c>
      <x:c r="J70" s="16" t="str">
        <x:v>73.33</x:v>
      </x:c>
      <x:c r="K70" s="16" t="str">
        <x:v>10/8/2025</x:v>
      </x:c>
      <x:c r="L70" s="16" t="str">
        <x:v>Y</x:v>
      </x:c>
      <x:c r="M70" s="16" t="str">
        <x:v>Y</x:v>
      </x:c>
      <x:c r="N70" s="16" t="str">
        <x:v>VOC + MNA</x:v>
      </x:c>
      <x:c r="O70" s="16" t="str">
        <x:v>Complete – duplicate collected</x:v>
      </x:c>
      <x:c r="P70" s="16" t="str">
        <x:v>2025-10-08 / SS45L007MW_10082025; duplicate SS45L007MW_10082025B</x:v>
      </x:c>
      <x:c r="Q70" s="16" t="str">
        <x:v>N</x:v>
      </x:c>
      <x:c r="R70" s="16" t="str"/>
      <x:c r="S70" s="16" t="str"/>
      <x:c r="T70" s="16" t="str"/>
      <x:c r="U70" s="16" t="str"/>
      <x:c r="V70" s="16" t="str"/>
      <x:c r="W70" s="16" t="str"/>
      <x:c r="X70" s="16" t="str">
        <x:v>Sampled – no COC exceedance</x:v>
      </x:c>
      <x:c r="Y70" s="16" t="n">
        <x:v>3</x:v>
      </x:c>
      <x:c r="Z70" s="16" t="str">
        <x:v>Retain in optimized schedule; no escalation unless trend or exceedance trigger is identified.</x:v>
      </x:c>
      <x:c r="AA70" s="16" t="str"/>
      <x:c r="AB70" s="16" t="str"/>
      <x:c r="AC70" s="16" t="str">
        <x:v>Attachment 1A Table 1-A; AMR Tables 2-2 and 3-1</x:v>
      </x:c>
    </x:row>
    <x:row r="71" ht="45" customHeight="1">
      <x:c r="A71" s="16" t="str">
        <x:v>Well #12</x:v>
      </x:c>
      <x:c r="B71" s="16" t="str">
        <x:v>North Apron</x:v>
      </x:c>
      <x:c r="C71" s="16" t="str">
        <x:v>Deep</x:v>
      </x:c>
      <x:c r="D71" s="16" t="str">
        <x:v>A</x:v>
      </x:c>
      <x:c r="E71" s="16" t="str">
        <x:v>300725.79</x:v>
      </x:c>
      <x:c r="F71" s="16" t="str">
        <x:v>3268859.32</x:v>
      </x:c>
      <x:c r="G71" s="16" t="str">
        <x:v>NAD 1983 StatePlane Louisiana North FIPS 1701 Feet (US ft) - confirm with GIS</x:v>
      </x:c>
      <x:c r="H71" s="16" t="str">
        <x:v>90 - 99.5</x:v>
      </x:c>
      <x:c r="I71" s="16" t="str">
        <x:v>86.71</x:v>
      </x:c>
      <x:c r="J71" s="16" t="str">
        <x:v>74.52</x:v>
      </x:c>
      <x:c r="K71" s="16" t="str">
        <x:v>9/18/2025</x:v>
      </x:c>
      <x:c r="L71" s="16" t="str">
        <x:v>Y</x:v>
      </x:c>
      <x:c r="M71" s="16" t="str">
        <x:v>Y</x:v>
      </x:c>
      <x:c r="N71" s="16" t="str">
        <x:v>VOC + MNA</x:v>
      </x:c>
      <x:c r="O71" s="16" t="str">
        <x:v>Complete</x:v>
      </x:c>
      <x:c r="P71" s="16" t="str">
        <x:v>2025-09-18 / WELL 12_09182025</x:v>
      </x:c>
      <x:c r="Q71" s="16" t="str">
        <x:v>Y</x:v>
      </x:c>
      <x:c r="R71" s="16" t="str">
        <x:v>VC</x:v>
      </x:c>
      <x:c r="S71" s="16" t="str">
        <x:v>VC = 8.0</x:v>
      </x:c>
      <x:c r="T71" s="16" t="str">
        <x:v>VC = 2</x:v>
      </x:c>
      <x:c r="U71" s="16" t="n">
        <x:v>4</x:v>
      </x:c>
      <x:c r="V71" s="16" t="str">
        <x:v>VC</x:v>
      </x:c>
      <x:c r="W71" s="16" t="n">
        <x:v>8</x:v>
      </x:c>
      <x:c r="X71" s="16" t="str">
        <x:v>VC exceedance</x:v>
      </x:c>
      <x:c r="Y71" s="16" t="n">
        <x:v>2</x:v>
      </x:c>
      <x:c r="Z71" s="16" t="str">
        <x:v>Continue annual VOC + MNA monitoring for trend confirmation.</x:v>
      </x:c>
      <x:c r="AA71" s="16" t="str"/>
      <x:c r="AB71" s="16" t="str">
        <x:v>No data-use limitation identified in preliminary table build.</x:v>
      </x:c>
      <x:c r="AC71" s="16" t="str">
        <x:v>Attachment 1A Table 1-A; AMR Tables 2-2 and 3-1</x:v>
      </x:c>
    </x:row>
    <x:row r="72" ht="45" customHeight="1">
      <x:c r="A72" s="16" t="str">
        <x:v>Well #14</x:v>
      </x:c>
      <x:c r="B72" s="16" t="str">
        <x:v>North Apron</x:v>
      </x:c>
      <x:c r="C72" s="16" t="str">
        <x:v>Deep</x:v>
      </x:c>
      <x:c r="D72" s="16" t="str">
        <x:v>A</x:v>
      </x:c>
      <x:c r="E72" s="16" t="str">
        <x:v>301097.96</x:v>
      </x:c>
      <x:c r="F72" s="16" t="str">
        <x:v>3269063.23</x:v>
      </x:c>
      <x:c r="G72" s="16" t="str">
        <x:v>NAD 1983 StatePlane Louisiana North FIPS 1701 Feet (US ft) - confirm with GIS</x:v>
      </x:c>
      <x:c r="H72" s="16" t="str">
        <x:v>90 - 99.5</x:v>
      </x:c>
      <x:c r="I72" s="16" t="str">
        <x:v>86.41</x:v>
      </x:c>
      <x:c r="J72" s="16" t="str">
        <x:v>74.46</x:v>
      </x:c>
      <x:c r="K72" s="16" t="str">
        <x:v>9/30/2025</x:v>
      </x:c>
      <x:c r="L72" s="16" t="str">
        <x:v>Y</x:v>
      </x:c>
      <x:c r="M72" s="16" t="str">
        <x:v>Y</x:v>
      </x:c>
      <x:c r="N72" s="16" t="str">
        <x:v>VOC + MNA</x:v>
      </x:c>
      <x:c r="O72" s="16" t="str">
        <x:v>Complete</x:v>
      </x:c>
      <x:c r="P72" s="16" t="str">
        <x:v>2025-09-30 / WELL 14_09302025</x:v>
      </x:c>
      <x:c r="Q72" s="16" t="str">
        <x:v>Y</x:v>
      </x:c>
      <x:c r="R72" s="16" t="str">
        <x:v>VC</x:v>
      </x:c>
      <x:c r="S72" s="16" t="str">
        <x:v>VC = 3.5</x:v>
      </x:c>
      <x:c r="T72" s="16" t="str">
        <x:v>VC = 2</x:v>
      </x:c>
      <x:c r="U72" s="16" t="n">
        <x:v>1.75</x:v>
      </x:c>
      <x:c r="V72" s="16" t="str">
        <x:v>VC</x:v>
      </x:c>
      <x:c r="W72" s="16" t="n">
        <x:v>3.5</x:v>
      </x:c>
      <x:c r="X72" s="16" t="str">
        <x:v>VC exceedance</x:v>
      </x:c>
      <x:c r="Y72" s="16" t="n">
        <x:v>2</x:v>
      </x:c>
      <x:c r="Z72" s="16" t="str">
        <x:v>Continue annual VOC + MNA monitoring for trend confirmation.</x:v>
      </x:c>
      <x:c r="AA72" s="16" t="str"/>
      <x:c r="AB72" s="16" t="str">
        <x:v>No data-use limitation identified in preliminary table build.</x:v>
      </x:c>
      <x:c r="AC72" s="16" t="str">
        <x:v>Attachment 1A Table 1-A; AMR Tables 2-2 and 3-1</x:v>
      </x:c>
    </x:row>
    <x:row r="73" ht="45" customHeight="1">
      <x:c r="A73" s="16" t="str">
        <x:v>Well #18</x:v>
      </x:c>
      <x:c r="B73" s="16" t="str">
        <x:v>North Apron</x:v>
      </x:c>
      <x:c r="C73" s="16" t="str">
        <x:v>Deep</x:v>
      </x:c>
      <x:c r="D73" s="16" t="str">
        <x:v>A</x:v>
      </x:c>
      <x:c r="E73" s="16" t="str">
        <x:v>301944.03</x:v>
      </x:c>
      <x:c r="F73" s="16" t="str">
        <x:v>3268400.17</x:v>
      </x:c>
      <x:c r="G73" s="16" t="str">
        <x:v>NAD 1983 StatePlane Louisiana North FIPS 1701 Feet (US ft) - confirm with GIS</x:v>
      </x:c>
      <x:c r="H73" s="16" t="str">
        <x:v>90 - 99.5</x:v>
      </x:c>
      <x:c r="I73" s="16" t="str">
        <x:v>84.05</x:v>
      </x:c>
      <x:c r="J73" s="16" t="str">
        <x:v>73.85</x:v>
      </x:c>
      <x:c r="K73" s="16" t="str">
        <x:v>9/30/2025</x:v>
      </x:c>
      <x:c r="L73" s="16" t="str">
        <x:v>Y</x:v>
      </x:c>
      <x:c r="M73" s="16" t="str">
        <x:v>Y</x:v>
      </x:c>
      <x:c r="N73" s="16" t="str">
        <x:v>VOC</x:v>
      </x:c>
      <x:c r="O73" s="16" t="str">
        <x:v>Complete</x:v>
      </x:c>
      <x:c r="P73" s="16" t="str">
        <x:v>2025-09-30 / WELL 18_09302025</x:v>
      </x:c>
      <x:c r="Q73" s="16" t="str">
        <x:v>N</x:v>
      </x:c>
      <x:c r="R73" s="16" t="str"/>
      <x:c r="S73" s="16" t="str"/>
      <x:c r="T73" s="16" t="str"/>
      <x:c r="U73" s="16" t="str"/>
      <x:c r="V73" s="16" t="str"/>
      <x:c r="W73" s="16" t="str"/>
      <x:c r="X73" s="16" t="str">
        <x:v>Sampled – no COC exceedance</x:v>
      </x:c>
      <x:c r="Y73" s="16" t="n">
        <x:v>3</x:v>
      </x:c>
      <x:c r="Z73" s="16" t="str">
        <x:v>Retain in optimized schedule; no escalation unless trend or exceedance trigger is identified.</x:v>
      </x:c>
      <x:c r="AA73" s="16" t="str"/>
      <x:c r="AB73" s="16" t="str"/>
      <x:c r="AC73" s="16" t="str">
        <x:v>Attachment 1A Table 1-A; AMR Tables 2-2 and 3-1</x:v>
      </x:c>
    </x:row>
    <x:row r="74" ht="45" customHeight="1">
      <x:c r="A74" s="16" t="str">
        <x:v>Well #20</x:v>
      </x:c>
      <x:c r="B74" s="16" t="str">
        <x:v>North Apron</x:v>
      </x:c>
      <x:c r="C74" s="16" t="str">
        <x:v>Deep</x:v>
      </x:c>
      <x:c r="D74" s="16" t="str">
        <x:v>A</x:v>
      </x:c>
      <x:c r="E74" s="16" t="str">
        <x:v>301735.04</x:v>
      </x:c>
      <x:c r="F74" s="16" t="str">
        <x:v>3269033.05</x:v>
      </x:c>
      <x:c r="G74" s="16" t="str">
        <x:v>NAD 1983 StatePlane Louisiana North FIPS 1701 Feet (US ft) - confirm with GIS</x:v>
      </x:c>
      <x:c r="H74" s="16" t="str">
        <x:v>120 - 129.5</x:v>
      </x:c>
      <x:c r="I74" s="16" t="str">
        <x:v>83.36</x:v>
      </x:c>
      <x:c r="J74" s="16" t="str">
        <x:v>74.26</x:v>
      </x:c>
      <x:c r="K74" s="16" t="str">
        <x:v>10/7/2025</x:v>
      </x:c>
      <x:c r="L74" s="16" t="str">
        <x:v>Y</x:v>
      </x:c>
      <x:c r="M74" s="16" t="str">
        <x:v>Y</x:v>
      </x:c>
      <x:c r="N74" s="16" t="str">
        <x:v>VOC</x:v>
      </x:c>
      <x:c r="O74" s="16" t="str">
        <x:v>Complete</x:v>
      </x:c>
      <x:c r="P74" s="16" t="str">
        <x:v>2025-10-07 / WELL 20_10072025</x:v>
      </x:c>
      <x:c r="Q74" s="16" t="str">
        <x:v>N</x:v>
      </x:c>
      <x:c r="R74" s="16" t="str"/>
      <x:c r="S74" s="16" t="str"/>
      <x:c r="T74" s="16" t="str"/>
      <x:c r="U74" s="16" t="str"/>
      <x:c r="V74" s="16" t="str"/>
      <x:c r="W74" s="16" t="str"/>
      <x:c r="X74" s="16" t="str">
        <x:v>Sampled – no COC exceedance</x:v>
      </x:c>
      <x:c r="Y74" s="16" t="n">
        <x:v>3</x:v>
      </x:c>
      <x:c r="Z74" s="16" t="str">
        <x:v>Retain in optimized schedule; no escalation unless trend or exceedance trigger is identified.</x:v>
      </x:c>
      <x:c r="AA74" s="16" t="str"/>
      <x:c r="AB74" s="16" t="str"/>
      <x:c r="AC74" s="16" t="str">
        <x:v>Attachment 1A Table 1-A; AMR Tables 2-2 and 3-1</x:v>
      </x:c>
    </x:row>
    <x:row r="75" ht="45" customHeight="1">
      <x:c r="A75" s="16" t="str">
        <x:v>SS45IW001</x:v>
      </x:c>
      <x:c r="B75" s="16" t="str">
        <x:v>North Apron</x:v>
      </x:c>
      <x:c r="C75" s="16" t="str">
        <x:v>Injection</x:v>
      </x:c>
      <x:c r="D75" s="16" t="str">
        <x:v>G</x:v>
      </x:c>
      <x:c r="E75" s="16" t="str">
        <x:v>301824.11</x:v>
      </x:c>
      <x:c r="F75" s="16" t="str">
        <x:v>3269315.34</x:v>
      </x:c>
      <x:c r="G75" s="16" t="str">
        <x:v>NAD 1983 StatePlane Louisiana North FIPS 1701 Feet (US ft) - confirm with GIS</x:v>
      </x:c>
      <x:c r="H75" s="16" t="str">
        <x:v>55.5-65.5</x:v>
      </x:c>
      <x:c r="I75" s="16" t="str">
        <x:v>83.02</x:v>
      </x:c>
      <x:c r="J75" s="16" t="str">
        <x:v>72.65</x:v>
      </x:c>
      <x:c r="K75" s="16" t="str">
        <x:v>9/30/2025</x:v>
      </x:c>
      <x:c r="L75" s="16" t="str">
        <x:v>N</x:v>
      </x:c>
      <x:c r="M75" s="16" t="str">
        <x:v>Y</x:v>
      </x:c>
      <x:c r="N75" s="16" t="str"/>
      <x:c r="O75" s="16" t="str">
        <x:v>Gauged/inspected only</x:v>
      </x:c>
      <x:c r="P75" s="16" t="str"/>
      <x:c r="Q75" s="16" t="str">
        <x:v>N</x:v>
      </x:c>
      <x:c r="R75" s="16" t="str"/>
      <x:c r="S75" s="16" t="str"/>
      <x:c r="T75" s="16" t="str"/>
      <x:c r="U75" s="16" t="str"/>
      <x:c r="V75" s="16" t="str"/>
      <x:c r="W75" s="16" t="str"/>
      <x:c r="X75" s="16" t="str">
        <x:v>Gauging/inspection only</x:v>
      </x:c>
      <x:c r="Y75" s="16" t="n">
        <x:v>4</x:v>
      </x:c>
      <x:c r="Z75" s="16" t="str">
        <x:v>Retain for annual gauging/inspection as applicable.</x:v>
      </x:c>
      <x:c r="AA75" s="16" t="str"/>
      <x:c r="AB75" s="16" t="str"/>
      <x:c r="AC75" s="16" t="str">
        <x:v>Attachment 1A Table 1-A; AMR Tables 2-2 and 3-1</x:v>
      </x:c>
    </x:row>
    <x:row r="76" ht="45" customHeight="1">
      <x:c r="A76" s="16" t="str">
        <x:v>SS45IW002</x:v>
      </x:c>
      <x:c r="B76" s="16" t="str">
        <x:v>North Apron</x:v>
      </x:c>
      <x:c r="C76" s="16" t="str">
        <x:v>Injection</x:v>
      </x:c>
      <x:c r="D76" s="16" t="str">
        <x:v>G</x:v>
      </x:c>
      <x:c r="E76" s="16" t="str">
        <x:v>302014.16</x:v>
      </x:c>
      <x:c r="F76" s="16" t="str">
        <x:v>3269632.28</x:v>
      </x:c>
      <x:c r="G76" s="16" t="str">
        <x:v>NAD 1983 StatePlane Louisiana North FIPS 1701 Feet (US ft) - confirm with GIS</x:v>
      </x:c>
      <x:c r="H76" s="16" t="str">
        <x:v>55.5-65.5</x:v>
      </x:c>
      <x:c r="I76" s="16" t="str">
        <x:v>82.91</x:v>
      </x:c>
      <x:c r="J76" s="16" t="str"/>
      <x:c r="K76" s="16" t="str"/>
      <x:c r="L76" s="16" t="str">
        <x:v>N</x:v>
      </x:c>
      <x:c r="M76" s="16" t="str">
        <x:v>N</x:v>
      </x:c>
      <x:c r="N76" s="16" t="str"/>
      <x:c r="O76" s="16" t="str">
        <x:v>Not found / not gauged</x:v>
      </x:c>
      <x:c r="P76" s="16" t="str"/>
      <x:c r="Q76" s="16" t="str">
        <x:v>N</x:v>
      </x:c>
      <x:c r="R76" s="16" t="str"/>
      <x:c r="S76" s="16" t="str"/>
      <x:c r="T76" s="16" t="str"/>
      <x:c r="U76" s="16" t="str"/>
      <x:c r="V76" s="16" t="str"/>
      <x:c r="W76" s="16" t="str"/>
      <x:c r="X76" s="16" t="str">
        <x:v>Field exception / not found</x:v>
      </x:c>
      <x:c r="Y76" s="16" t="n">
        <x:v>4</x:v>
      </x:c>
      <x:c r="Z76" s="16" t="str">
        <x:v>Retain for annual gauging/inspection as applicable.</x:v>
      </x:c>
      <x:c r="AA76" s="16" t="str"/>
      <x:c r="AB76" s="16" t="str"/>
      <x:c r="AC76" s="16" t="str">
        <x:v>Attachment 1A Table 1-A; AMR Tables 2-2 and 3-1</x:v>
      </x:c>
    </x:row>
  </x:sheetData>
  <x:conditionalFormatting sqref="Q5:Q76">
    <x:cfRule type="containsText" dxfId="0" priority="1" operator="containsText" text="Y"/>
  </x:conditionalFormatting>
  <x:conditionalFormatting sqref="X5:X76">
    <x:cfRule type="containsText" dxfId="1" priority="2" operator="containsText" text="Field exception"/>
  </x:conditionalFormatting>
  <x:pageMargins left="0.7" right="0.7" top="0.75" bottom="0.75" header="0.3" footer="0.3"/>
  <x:tableParts count="1">
    <x:tablePart xmlns:r="http://schemas.openxmlformats.org/officeDocument/2006/relationships" r:id="R94003a87261748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48" hidden="0" customWidth="1"/>
    <x:col min="5" max="5" width="58" hidden="0" customWidth="1"/>
    <x:col min="6" max="6" width="34" hidden="0" customWidth="1"/>
    <x:col min="7" max="7" width="50" hidden="0" customWidth="1"/>
    <x:col min="8" max="8" width="42" hidden="0" customWidth="1"/>
    <x:col min="9" max="9" width="28" hidden="0" customWidth="1"/>
    <x:col min="10" max="10" width="16" hidden="0" customWidth="1"/>
    <x:col min="11" max="11" width="50" hidden="0" customWidth="1"/>
  </x:cols>
  <x:sheetData>
    <x:row r="1">
      <x:c r="A1" s="2" t="str">
        <x:v>2025 SS045 AMR Figure Request Package</x:v>
      </x:c>
      <x:c r="B1" s="2"/>
      <x:c r="C1" s="2"/>
      <x:c r="D1" s="2"/>
      <x:c r="E1" s="2"/>
      <x:c r="F1" s="2"/>
      <x:c r="G1" s="2"/>
      <x:c r="H1" s="2"/>
    </x:row>
    <x:row r="4">
      <x:c r="A4" s="12" t="str">
        <x:v>Figure No.</x:v>
      </x:c>
      <x:c r="B4" s="12" t="str">
        <x:v>Figure Title</x:v>
      </x:c>
      <x:c r="C4" s="12" t="str">
        <x:v>Report Location</x:v>
      </x:c>
      <x:c r="D4" s="12" t="str">
        <x:v>Purpose</x:v>
      </x:c>
      <x:c r="E4" s="12" t="str">
        <x:v>Required Layers / Content</x:v>
      </x:c>
      <x:c r="F4" s="12" t="str">
        <x:v>Input Data Source</x:v>
      </x:c>
      <x:c r="G4" s="12" t="str">
        <x:v>Symbology / Labeling Direction</x:v>
      </x:c>
      <x:c r="H4" s="12" t="str">
        <x:v>Extent / Scale Direction</x:v>
      </x:c>
      <x:c r="I4" s="12" t="str">
        <x:v>Deliverables</x:v>
      </x:c>
      <x:c r="J4" s="12" t="str">
        <x:v>Status</x:v>
      </x:c>
      <x:c r="K4" s="12" t="str">
        <x:v>Notes</x:v>
      </x:c>
    </x:row>
    <x:row r="5" ht="78" customHeight="1">
      <x:c r="A5" s="16" t="str">
        <x:v>Figure 1-1</x:v>
      </x:c>
      <x:c r="B5" s="16" t="str">
        <x:v>Site Location Map</x:v>
      </x:c>
      <x:c r="C5" s="16" t="str">
        <x:v>Chapter 1</x:v>
      </x:c>
      <x:c r="D5" s="16" t="str">
        <x:v>Show regional context for the former England AFB and SS045 reporting area.</x:v>
      </x:c>
      <x:c r="E5" s="16" t="str">
        <x:v>Former England AFB boundary; local roads; nearby hydrologic features; inset map of Louisiana.</x:v>
      </x:c>
      <x:c r="F5" s="16" t="str">
        <x:v>Existing project base boundary and basemap layers.</x:v>
      </x:c>
      <x:c r="G5" s="16" t="str">
        <x:v>Simple location symbology; do not overcrowd with monitoring wells.</x:v>
      </x:c>
      <x:c r="H5" s="16" t="str">
        <x:v>Page-size figure; full-page or half-page as report layout requires.</x:v>
      </x:c>
      <x:c r="I5" s="16" t="str">
        <x:v>PDF and high-resolution PNG; GIS project export retained by GIS.</x:v>
      </x:c>
      <x:c r="J5" s="16" t="str">
        <x:v>Not Started</x:v>
      </x:c>
      <x:c r="K5" s="16" t="str">
        <x:v>Use SS045 in title/callout after alias is defined in Chapter 1.</x:v>
      </x:c>
    </x:row>
    <x:row r="6" ht="78" customHeight="1">
      <x:c r="A6" s="16" t="str">
        <x:v>Figure 2-1</x:v>
      </x:c>
      <x:c r="B6" s="16" t="str">
        <x:v>SS045 Monitoring Network and Site Areas</x:v>
      </x:c>
      <x:c r="C6" s="16" t="str">
        <x:v>Chapter 2</x:v>
      </x:c>
      <x:c r="D6" s="16" t="str">
        <x:v>Define the 2025 monitoring network and site areas within the single SS045 plume.</x:v>
      </x:c>
      <x:c r="E6" s="16" t="str">
        <x:v>SS045 boundary; site-area polygons; shallow, intermediate, deep, injection wells; annual, biennial, gauging categories; A39MW097 not found.</x:v>
      </x:c>
      <x:c r="F6" s="16" t="str">
        <x:v>GIS_Input sheet; existing SS045 site-area and boundary layers.</x:v>
      </x:c>
      <x:c r="G6" s="16" t="str">
        <x:v>Show site areas as interpretive subdivisions, not separate regulatory plumes. Use A/B/G categories and label priority from GIS_Input.</x:v>
      </x:c>
      <x:c r="H6" s="16" t="str">
        <x:v>Full-page figure; extent centered on SS045 boundary and site areas.</x:v>
      </x:c>
      <x:c r="I6" s="16" t="str">
        <x:v>PDF and high-resolution PNG.</x:v>
      </x:c>
      <x:c r="J6" s="16" t="str">
        <x:v>Not Started</x:v>
      </x:c>
      <x:c r="K6" s="16" t="str">
        <x:v>This is the primary figure supporting the alias/site-area framework.</x:v>
      </x:c>
    </x:row>
    <x:row r="7" ht="78" customHeight="1">
      <x:c r="A7" s="16" t="str">
        <x:v>Figure 3-1</x:v>
      </x:c>
      <x:c r="B7" s="16" t="str">
        <x:v>2025 Intermediate Potentiometric Surface</x:v>
      </x:c>
      <x:c r="C7" s="16" t="str">
        <x:v>Chapter 3</x:v>
      </x:c>
      <x:c r="D7" s="16" t="str">
        <x:v>Show 2025 intermediate-zone groundwater elevations and generalized flow directions for plume-stability evaluation.</x:v>
      </x:c>
      <x:c r="E7" s="16" t="str">
        <x:v>Intermediate wells with usable 2025 groundwater elevations; groundwater contours; flow arrows; surface water features; SS045 boundary.</x:v>
      </x:c>
      <x:c r="F7" s="16" t="str">
        <x:v>GIS_Input sheet and final groundwater elevation table when available.</x:v>
      </x:c>
      <x:c r="G7" s="16" t="str">
        <x:v>Exclude wells not gauged/not found from contouring. Display excluded wells only if needed as context.</x:v>
      </x:c>
      <x:c r="H7" s="16" t="str">
        <x:v>Use contour interval appropriate to low-gradient conditions; GIS to document interval in notes.</x:v>
      </x:c>
      <x:c r="I7" s="16" t="str">
        <x:v>PDF and high-resolution PNG; contour source retained in GIS files.</x:v>
      </x:c>
      <x:c r="J7" s="16" t="str">
        <x:v>Not Started</x:v>
      </x:c>
      <x:c r="K7" s="16" t="str">
        <x:v>Contour interpretation should be conservative because gradients are low and influenced by seasonal conditions.</x:v>
      </x:c>
    </x:row>
    <x:row r="8" ht="78" customHeight="1">
      <x:c r="A8" s="16" t="str">
        <x:v>Figure 3-2</x:v>
      </x:c>
      <x:c r="B8" s="16" t="str">
        <x:v>2025 Deep Potentiometric Surface</x:v>
      </x:c>
      <x:c r="C8" s="16" t="str">
        <x:v>Chapter 3</x:v>
      </x:c>
      <x:c r="D8" s="16" t="str">
        <x:v>Show 2025 deep-zone groundwater elevations and generalized flow directions for plume-stability evaluation.</x:v>
      </x:c>
      <x:c r="E8" s="16" t="str">
        <x:v>Deep wells with usable 2025 groundwater elevations; groundwater contours; flow arrows; surface water features; SS045 boundary.</x:v>
      </x:c>
      <x:c r="F8" s="16" t="str">
        <x:v>GIS_Input sheet and final groundwater elevation table when available.</x:v>
      </x:c>
      <x:c r="G8" s="16" t="str">
        <x:v>Exclude wells not gauged/not found from contouring. Use clear labels for deep-zone wells used in contouring.</x:v>
      </x:c>
      <x:c r="H8" s="16" t="str">
        <x:v>Use contour interval appropriate to low-gradient conditions; GIS to document interval in notes.</x:v>
      </x:c>
      <x:c r="I8" s="16" t="str">
        <x:v>PDF and high-resolution PNG; contour source retained in GIS files.</x:v>
      </x:c>
      <x:c r="J8" s="16" t="str">
        <x:v>Not Started</x:v>
      </x:c>
      <x:c r="K8" s="16" t="str">
        <x:v>Confirm whether wells with duplicate coordinates require offset labels.</x:v>
      </x:c>
    </x:row>
    <x:row r="9" ht="78" customHeight="1">
      <x:c r="A9" s="16" t="str">
        <x:v>Figure 3-3</x:v>
      </x:c>
      <x:c r="B9" s="16" t="str">
        <x:v>2025 COC Exceedance Summary Map</x:v>
      </x:c>
      <x:c r="C9" s="16" t="str">
        <x:v>Chapter 3</x:v>
      </x:c>
      <x:c r="D9" s="16" t="str">
        <x:v>Show all 2025 COC exceedances in one combined map to replace multiple main-report analyte maps.</x:v>
      </x:c>
      <x:c r="E9" s="16" t="str">
        <x:v>Wells sampled in 2025; 2025 COC exceedance wells; COC type(s); BCT-CSL exceedance ratio; SS045 boundary; site areas.</x:v>
      </x:c>
      <x:c r="F9" s="16" t="str">
        <x:v>GIS_Input sheet and Table 3-1.</x:v>
      </x:c>
      <x:c r="G9" s="16" t="str">
        <x:v>Symbolize exceedance wells by COC group; label all priority 1 and 2 wells. Show non-exceedance sampled wells muted for context.</x:v>
      </x:c>
      <x:c r="H9" s="16" t="str">
        <x:v>Full-page figure with callout labels where needed.</x:v>
      </x:c>
      <x:c r="I9" s="16" t="str">
        <x:v>PDF and high-resolution PNG.</x:v>
      </x:c>
      <x:c r="J9" s="16" t="str">
        <x:v>Not Started</x:v>
      </x:c>
      <x:c r="K9" s="16" t="str">
        <x:v>This is the main analytical-results map. Do not include individual analyte maps in the main report unless AF requests them.</x:v>
      </x:c>
    </x:row>
    <x:row r="10" ht="78" customHeight="1">
      <x:c r="A10" s="16" t="str">
        <x:v>Figure 4-1</x:v>
      </x:c>
      <x:c r="B10" s="16" t="str">
        <x:v>Priority Well Trend Plate Index</x:v>
      </x:c>
      <x:c r="C10" s="16" t="str">
        <x:v>Chapter 4</x:v>
      </x:c>
      <x:c r="D10" s="16" t="str">
        <x:v>Index the wells that have Appendix D 11x17 trend plates and connect plates to the remedy-performance discussion.</x:v>
      </x:c>
      <x:c r="E10" s="16" t="str">
        <x:v>Priority/exceedance wells; plate IDs; SS045 boundary; site areas.</x:v>
      </x:c>
      <x:c r="F10" s="16" t="str">
        <x:v>GIS_Input sheet, Table 4-1, and final Appendix D plate list.</x:v>
      </x:c>
      <x:c r="G10" s="16" t="str">
        <x:v>Use Plate D-1 through D-16 identifiers. Label priority wells; keep other wells muted or off.</x:v>
      </x:c>
      <x:c r="H10" s="16" t="str">
        <x:v>Full-page figure or compact index map, depending on report layout.</x:v>
      </x:c>
      <x:c r="I10" s="16" t="str">
        <x:v>PDF and high-resolution PNG.</x:v>
      </x:c>
      <x:c r="J10" s="16" t="str">
        <x:v>Not Started</x:v>
      </x:c>
      <x:c r="K10" s="16" t="str">
        <x:v>Update plate numbers after the final trend plate package is locked.</x:v>
      </x:c>
    </x:row>
  </x:sheetData>
  <x:pageMargins left="0.7" right="0.7" top="0.75" bottom="0.75" header="0.3" footer="0.3"/>
  <x:tableParts count="1">
    <x:tablePart xmlns:r="http://schemas.openxmlformats.org/officeDocument/2006/relationships" r:id="Ref63ced2f37344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60" hidden="0" customWidth="1"/>
  </x:cols>
  <x:sheetData>
    <x:row r="1">
      <x:c r="A1" s="2" t="str">
        <x:v>Recommended Symbology and Labeling Rules</x:v>
      </x:c>
      <x:c r="B1" s="2"/>
      <x:c r="C1" s="2"/>
      <x:c r="D1" s="2"/>
      <x:c r="E1" s="2"/>
      <x:c r="F1" s="2"/>
      <x:c r="G1" s="2"/>
      <x:c r="H1" s="2"/>
    </x:row>
    <x:row r="4">
      <x:c r="A4" s="12" t="str">
        <x:v>Layer / Category</x:v>
      </x:c>
      <x:c r="B4" s="12" t="str">
        <x:v>Suggested Symbol Treatment</x:v>
      </x:c>
      <x:c r="C4" s="12" t="str">
        <x:v>Label Rule</x:v>
      </x:c>
      <x:c r="D4" s="12" t="str">
        <x:v>Use In Figures</x:v>
      </x:c>
      <x:c r="E4" s="12" t="str">
        <x:v>Notes</x:v>
      </x:c>
    </x:row>
    <x:row r="5" ht="42" customHeight="1">
      <x:c r="A5" s="16" t="str">
        <x:v>Site area boundary</x:v>
      </x:c>
      <x:c r="B5" s="16" t="str">
        <x:v>Dashed outline with transparent fill</x:v>
      </x:c>
      <x:c r="C5" s="16" t="str">
        <x:v>Label site areas once</x:v>
      </x:c>
      <x:c r="D5" s="16" t="str">
        <x:v>Figure 2-1, Figure 3-3, Figure 4-1</x:v>
      </x:c>
      <x:c r="E5" s="16" t="str">
        <x:v>Use as interpretive site areas within a single SS045 plume.</x:v>
      </x:c>
    </x:row>
    <x:row r="6" ht="42" customHeight="1">
      <x:c r="A6" s="16" t="str">
        <x:v>SS045 boundary</x:v>
      </x:c>
      <x:c r="B6" s="16" t="str">
        <x:v>Solid outline, no fill</x:v>
      </x:c>
      <x:c r="C6" s="16" t="str">
        <x:v>Label once or in legend</x:v>
      </x:c>
      <x:c r="D6" s="16" t="str">
        <x:v>All SS045 maps</x:v>
      </x:c>
      <x:c r="E6" s="16" t="str">
        <x:v>Avoid suggesting multiple regulatory plumes.</x:v>
      </x:c>
    </x:row>
    <x:row r="7" ht="42" customHeight="1">
      <x:c r="A7" s="16" t="str">
        <x:v>Sampled – no COC exceedance</x:v>
      </x:c>
      <x:c r="B7" s="16" t="str">
        <x:v>Open circle or muted point</x:v>
      </x:c>
      <x:c r="C7" s="16" t="str">
        <x:v>Label only if priority 3 and space allows</x:v>
      </x:c>
      <x:c r="D7" s="16" t="str">
        <x:v>Figure 2-1, Figure 3-3</x:v>
      </x:c>
      <x:c r="E7" s="16" t="str">
        <x:v>Use muted symbology to focus attention on exceedances.</x:v>
      </x:c>
    </x:row>
    <x:row r="8" ht="42" customHeight="1">
      <x:c r="A8" s="16" t="str">
        <x:v>Gauging/inspection only</x:v>
      </x:c>
      <x:c r="B8" s="16" t="str">
        <x:v>Small gray point</x:v>
      </x:c>
      <x:c r="C8" s="16" t="str">
        <x:v>No label unless needed</x:v>
      </x:c>
      <x:c r="D8" s="16" t="str">
        <x:v>Figure 2-1, potentiometric maps</x:v>
      </x:c>
      <x:c r="E8" s="16" t="str">
        <x:v>Use only where it supports network context or contouring.</x:v>
      </x:c>
    </x:row>
    <x:row r="9" ht="42" customHeight="1">
      <x:c r="A9" s="16" t="str">
        <x:v>Field exception / not found</x:v>
      </x:c>
      <x:c r="B9" s="16" t="str">
        <x:v>Open X or crossed point</x:v>
      </x:c>
      <x:c r="C9" s="16" t="str">
        <x:v>Label A39MW097 on Figure 2-1</x:v>
      </x:c>
      <x:c r="D9" s="16" t="str">
        <x:v>Figure 2-1</x:v>
      </x:c>
      <x:c r="E9" s="16" t="str">
        <x:v>Do not display as analytical result on Figure 3-3.</x:v>
      </x:c>
    </x:row>
    <x:row r="10" ht="42" customHeight="1">
      <x:c r="A10" s="16" t="str">
        <x:v>VC exceedance</x:v>
      </x:c>
      <x:c r="B10" s="16" t="str">
        <x:v>Distinct exceedance symbol</x:v>
      </x:c>
      <x:c r="C10" s="16" t="str">
        <x:v>Label priority 1 and 2</x:v>
      </x:c>
      <x:c r="D10" s="16" t="str">
        <x:v>Figure 3-3, Figure 4-1</x:v>
      </x:c>
      <x:c r="E10" s="16" t="str">
        <x:v>Most frequent exceedance category in 2025.</x:v>
      </x:c>
    </x:row>
    <x:row r="11" ht="42" customHeight="1">
      <x:c r="A11" s="16" t="str">
        <x:v>TCE exceedance</x:v>
      </x:c>
      <x:c r="B11" s="16" t="str">
        <x:v>Distinct exceedance symbol</x:v>
      </x:c>
      <x:c r="C11" s="16" t="str">
        <x:v>Label priority 1 and 2</x:v>
      </x:c>
      <x:c r="D11" s="16" t="str">
        <x:v>Figure 3-3, Figure 4-1</x:v>
      </x:c>
      <x:c r="E11" s="16" t="str">
        <x:v>Use for A39L036DPR2 and A39L014DP.</x:v>
      </x:c>
    </x:row>
    <x:row r="12" ht="42" customHeight="1">
      <x:c r="A12" s="16" t="str">
        <x:v>cis-1,2-DCE + VC exceedance</x:v>
      </x:c>
      <x:c r="B12" s="16" t="str">
        <x:v>Distinct multi-constituent symbol</x:v>
      </x:c>
      <x:c r="C12" s="16" t="str">
        <x:v>Label priority 1</x:v>
      </x:c>
      <x:c r="D12" s="16" t="str">
        <x:v>Figure 3-3, Figure 4-1</x:v>
      </x:c>
      <x:c r="E12" s="16" t="str">
        <x:v>Use for A39MW094.</x:v>
      </x:c>
    </x:row>
    <x:row r="13" ht="42" customHeight="1">
      <x:c r="A13" s="16" t="str">
        <x:v>Multi-COC exceedance</x:v>
      </x:c>
      <x:c r="B13" s="16" t="str">
        <x:v>Distinct multi-constituent symbol with outline</x:v>
      </x:c>
      <x:c r="C13" s="16" t="str">
        <x:v>Label priority 1</x:v>
      </x:c>
      <x:c r="D13" s="16" t="str">
        <x:v>Figure 3-3, Figure 4-1</x:v>
      </x:c>
      <x:c r="E13" s="16" t="str">
        <x:v>Use for BH01MW02 and Well #15.</x:v>
      </x:c>
    </x:row>
    <x:row r="14" ht="42" customHeight="1">
      <x:c r="A14" s="16" t="str">
        <x:v>Groundwater contours</x:v>
      </x:c>
      <x:c r="B14" s="16" t="str">
        <x:v>Thin line with contour labels</x:v>
      </x:c>
      <x:c r="C14" s="16" t="str">
        <x:v>Label contours sparingly</x:v>
      </x:c>
      <x:c r="D14" s="16" t="str">
        <x:v>Figures 3-1 and 3-2</x:v>
      </x:c>
      <x:c r="E14" s="16" t="str">
        <x:v>Avoid overinterpreting low-gradient areas.</x:v>
      </x:c>
    </x:row>
    <x:row r="15" ht="42" customHeight="1">
      <x:c r="A15" s="16" t="str">
        <x:v>Flow arrows</x:v>
      </x:c>
      <x:c r="B15" s="16" t="str">
        <x:v>Light arrow showing generalized direction</x:v>
      </x:c>
      <x:c r="C15" s="16" t="str">
        <x:v>No label unless needed</x:v>
      </x:c>
      <x:c r="D15" s="16" t="str">
        <x:v>Figures 3-1 and 3-2</x:v>
      </x:c>
      <x:c r="E15" s="16" t="str">
        <x:v>Use generalized arrows, not precise vectors.</x:v>
      </x:c>
    </x:row>
    <x:row r="16" ht="42" customHeight="1"/>
  </x:sheetData>
  <x:pageMargins left="0.7" right="0.7" top="0.75" bottom="0.75" header="0.3" footer="0.3"/>
  <x:tableParts count="1">
    <x:tablePart xmlns:r="http://schemas.openxmlformats.org/officeDocument/2006/relationships" r:id="Re6ad0fb5f57d49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8" hidden="0" customWidth="1"/>
    <x:col min="4" max="4" width="18" hidden="0" customWidth="1"/>
    <x:col min="5" max="5" width="16" hidden="0" customWidth="1"/>
    <x:col min="6" max="6" width="50" hidden="0" customWidth="1"/>
  </x:cols>
  <x:sheetData>
    <x:row r="1">
      <x:c r="A1" s="2" t="str">
        <x:v>Figure QA/QC Checklist</x:v>
      </x:c>
      <x:c r="B1" s="2"/>
      <x:c r="C1" s="2"/>
      <x:c r="D1" s="2"/>
      <x:c r="E1" s="2"/>
      <x:c r="F1" s="2"/>
      <x:c r="G1" s="2"/>
      <x:c r="H1" s="2"/>
    </x:row>
    <x:row r="4">
      <x:c r="A4" s="12" t="str">
        <x:v>Figure No.</x:v>
      </x:c>
      <x:c r="B4" s="12" t="str">
        <x:v>QA/QC Check Item</x:v>
      </x:c>
      <x:c r="C4" s="12" t="str">
        <x:v>Status</x:v>
      </x:c>
      <x:c r="D4" s="12" t="str">
        <x:v>Reviewer</x:v>
      </x:c>
      <x:c r="E4" s="12" t="str">
        <x:v>Review Date</x:v>
      </x:c>
      <x:c r="F4" s="12" t="str">
        <x:v>Comments</x:v>
      </x:c>
    </x:row>
    <x:row r="5" ht="34" customHeight="1">
      <x:c r="A5" s="16" t="str">
        <x:v>Figure 1-1</x:v>
      </x:c>
      <x:c r="B5" s="16" t="str">
        <x:v>Figure number and title match the report register.</x:v>
      </x:c>
      <x:c r="C5" s="16" t="str">
        <x:v>Not Reviewed</x:v>
      </x:c>
      <x:c r="D5" s="16" t="str"/>
      <x:c r="E5" s="16" t="str"/>
      <x:c r="F5" s="16" t="str"/>
    </x:row>
    <x:row r="6" ht="34" customHeight="1">
      <x:c r="A6" s="16" t="str">
        <x:v>Figure 1-1</x:v>
      </x:c>
      <x:c r="B6" s="16" t="str">
        <x:v>Year is 2025 and site naming uses SS045 consistently.</x:v>
      </x:c>
      <x:c r="C6" s="16" t="str">
        <x:v>Not Reviewed</x:v>
      </x:c>
      <x:c r="D6" s="16" t="str"/>
      <x:c r="E6" s="16" t="str"/>
      <x:c r="F6" s="16" t="str"/>
    </x:row>
    <x:row r="7" ht="34" customHeight="1">
      <x:c r="A7" s="16" t="str">
        <x:v>Figure 1-1</x:v>
      </x:c>
      <x:c r="B7" s="16" t="str">
        <x:v>North arrow, scale bar, coordinate system, and datum are shown.</x:v>
      </x:c>
      <x:c r="C7" s="16" t="str">
        <x:v>Not Reviewed</x:v>
      </x:c>
      <x:c r="D7" s="16" t="str"/>
      <x:c r="E7" s="16" t="str"/>
      <x:c r="F7" s="16" t="str"/>
    </x:row>
    <x:row r="8" ht="34" customHeight="1">
      <x:c r="A8" s="16" t="str">
        <x:v>Figure 1-1</x:v>
      </x:c>
      <x:c r="B8" s="16" t="str">
        <x:v>Legend defines all symbols and site-area boundaries.</x:v>
      </x:c>
      <x:c r="C8" s="16" t="str">
        <x:v>Not Reviewed</x:v>
      </x:c>
      <x:c r="D8" s="16" t="str"/>
      <x:c r="E8" s="16" t="str"/>
      <x:c r="F8" s="16" t="str"/>
    </x:row>
    <x:row r="9" ht="34" customHeight="1">
      <x:c r="A9" s="16" t="str">
        <x:v>Figure 1-1</x:v>
      </x:c>
      <x:c r="B9" s="16" t="str">
        <x:v>Well locations match GIS_Input sheet and project GIS source layers.</x:v>
      </x:c>
      <x:c r="C9" s="16" t="str">
        <x:v>Not Reviewed</x:v>
      </x:c>
      <x:c r="D9" s="16" t="str"/>
      <x:c r="E9" s="16" t="str"/>
      <x:c r="F9" s="16" t="str"/>
    </x:row>
    <x:row r="10" ht="34" customHeight="1">
      <x:c r="A10" s="16" t="str">
        <x:v>Figure 1-1</x:v>
      </x:c>
      <x:c r="B10" s="16" t="str">
        <x:v>A39MW097 is shown as a field exception only where relevant.</x:v>
      </x:c>
      <x:c r="C10" s="16" t="str">
        <x:v>Not Reviewed</x:v>
      </x:c>
      <x:c r="D10" s="16" t="str"/>
      <x:c r="E10" s="16" t="str"/>
      <x:c r="F10" s="16" t="str"/>
    </x:row>
    <x:row r="11" ht="34" customHeight="1">
      <x:c r="A11" s="16" t="str">
        <x:v>Figure 1-1</x:v>
      </x:c>
      <x:c r="B11" s="16" t="str">
        <x:v>COC exceedance labels match Table 3-1 exactly.</x:v>
      </x:c>
      <x:c r="C11" s="16" t="str">
        <x:v>Not Reviewed</x:v>
      </x:c>
      <x:c r="D11" s="16" t="str"/>
      <x:c r="E11" s="16" t="str"/>
      <x:c r="F11" s="16" t="str"/>
    </x:row>
    <x:row r="12" ht="34" customHeight="1">
      <x:c r="A12" s="16" t="str">
        <x:v>Figure 1-1</x:v>
      </x:c>
      <x:c r="B12" s="16" t="str">
        <x:v>Non-exceedance wells are not visually over-emphasized.</x:v>
      </x:c>
      <x:c r="C12" s="16" t="str">
        <x:v>Not Reviewed</x:v>
      </x:c>
      <x:c r="D12" s="16" t="str"/>
      <x:c r="E12" s="16" t="str"/>
      <x:c r="F12" s="16" t="str"/>
    </x:row>
    <x:row r="13" ht="34" customHeight="1">
      <x:c r="A13" s="16" t="str">
        <x:v>Figure 1-1</x:v>
      </x:c>
      <x:c r="B13" s="16" t="str">
        <x:v>Site areas are presented as interpretive areas within a single SS045 plume.</x:v>
      </x:c>
      <x:c r="C13" s="16" t="str">
        <x:v>Not Reviewed</x:v>
      </x:c>
      <x:c r="D13" s="16" t="str"/>
      <x:c r="E13" s="16" t="str"/>
      <x:c r="F13" s="16" t="str"/>
    </x:row>
    <x:row r="14" ht="34" customHeight="1">
      <x:c r="A14" s="16" t="str">
        <x:v>Figure 1-1</x:v>
      </x:c>
      <x:c r="B14" s="16" t="str">
        <x:v>Figure notes identify data sources and any contouring/exclusion limitations.</x:v>
      </x:c>
      <x:c r="C14" s="16" t="str">
        <x:v>Not Reviewed</x:v>
      </x:c>
      <x:c r="D14" s="16" t="str"/>
      <x:c r="E14" s="16" t="str"/>
      <x:c r="F14" s="16" t="str"/>
    </x:row>
    <x:row r="15" ht="34" customHeight="1">
      <x:c r="A15" s="16" t="str">
        <x:v>Figure 2-1</x:v>
      </x:c>
      <x:c r="B15" s="16" t="str">
        <x:v>Figure number and title match the report register.</x:v>
      </x:c>
      <x:c r="C15" s="16" t="str">
        <x:v>Not Reviewed</x:v>
      </x:c>
      <x:c r="D15" s="16" t="str"/>
      <x:c r="E15" s="16" t="str"/>
      <x:c r="F15" s="16" t="str"/>
    </x:row>
    <x:row r="16" ht="34" customHeight="1">
      <x:c r="A16" s="16" t="str">
        <x:v>Figure 2-1</x:v>
      </x:c>
      <x:c r="B16" s="16" t="str">
        <x:v>Year is 2025 and site naming uses SS045 consistently.</x:v>
      </x:c>
      <x:c r="C16" s="16" t="str">
        <x:v>Not Reviewed</x:v>
      </x:c>
      <x:c r="D16" s="16" t="str"/>
      <x:c r="E16" s="16" t="str"/>
      <x:c r="F16" s="16" t="str"/>
    </x:row>
    <x:row r="17" ht="34" customHeight="1">
      <x:c r="A17" s="16" t="str">
        <x:v>Figure 2-1</x:v>
      </x:c>
      <x:c r="B17" s="16" t="str">
        <x:v>North arrow, scale bar, coordinate system, and datum are shown.</x:v>
      </x:c>
      <x:c r="C17" s="16" t="str">
        <x:v>Not Reviewed</x:v>
      </x:c>
      <x:c r="D17" s="16" t="str"/>
      <x:c r="E17" s="16" t="str"/>
      <x:c r="F17" s="16" t="str"/>
    </x:row>
    <x:row r="18" ht="34" customHeight="1">
      <x:c r="A18" s="16" t="str">
        <x:v>Figure 2-1</x:v>
      </x:c>
      <x:c r="B18" s="16" t="str">
        <x:v>Legend defines all symbols and site-area boundaries.</x:v>
      </x:c>
      <x:c r="C18" s="16" t="str">
        <x:v>Not Reviewed</x:v>
      </x:c>
      <x:c r="D18" s="16" t="str"/>
      <x:c r="E18" s="16" t="str"/>
      <x:c r="F18" s="16" t="str"/>
    </x:row>
    <x:row r="19" ht="34" customHeight="1">
      <x:c r="A19" s="16" t="str">
        <x:v>Figure 2-1</x:v>
      </x:c>
      <x:c r="B19" s="16" t="str">
        <x:v>Well locations match GIS_Input sheet and project GIS source layers.</x:v>
      </x:c>
      <x:c r="C19" s="16" t="str">
        <x:v>Not Reviewed</x:v>
      </x:c>
      <x:c r="D19" s="16" t="str"/>
      <x:c r="E19" s="16" t="str"/>
      <x:c r="F19" s="16" t="str"/>
    </x:row>
    <x:row r="20" ht="34" customHeight="1">
      <x:c r="A20" s="16" t="str">
        <x:v>Figure 2-1</x:v>
      </x:c>
      <x:c r="B20" s="16" t="str">
        <x:v>A39MW097 is shown as a field exception only where relevant.</x:v>
      </x:c>
      <x:c r="C20" s="16" t="str">
        <x:v>Not Reviewed</x:v>
      </x:c>
      <x:c r="D20" s="16" t="str"/>
      <x:c r="E20" s="16" t="str"/>
      <x:c r="F20" s="16" t="str"/>
    </x:row>
    <x:row r="21" ht="34" customHeight="1">
      <x:c r="A21" s="16" t="str">
        <x:v>Figure 2-1</x:v>
      </x:c>
      <x:c r="B21" s="16" t="str">
        <x:v>COC exceedance labels match Table 3-1 exactly.</x:v>
      </x:c>
      <x:c r="C21" s="16" t="str">
        <x:v>Not Reviewed</x:v>
      </x:c>
      <x:c r="D21" s="16" t="str"/>
      <x:c r="E21" s="16" t="str"/>
      <x:c r="F21" s="16" t="str"/>
    </x:row>
    <x:row r="22" ht="34" customHeight="1">
      <x:c r="A22" s="16" t="str">
        <x:v>Figure 2-1</x:v>
      </x:c>
      <x:c r="B22" s="16" t="str">
        <x:v>Non-exceedance wells are not visually over-emphasized.</x:v>
      </x:c>
      <x:c r="C22" s="16" t="str">
        <x:v>Not Reviewed</x:v>
      </x:c>
      <x:c r="D22" s="16" t="str"/>
      <x:c r="E22" s="16" t="str"/>
      <x:c r="F22" s="16" t="str"/>
    </x:row>
    <x:row r="23" ht="34" customHeight="1">
      <x:c r="A23" s="16" t="str">
        <x:v>Figure 2-1</x:v>
      </x:c>
      <x:c r="B23" s="16" t="str">
        <x:v>Site areas are presented as interpretive areas within a single SS045 plume.</x:v>
      </x:c>
      <x:c r="C23" s="16" t="str">
        <x:v>Not Reviewed</x:v>
      </x:c>
      <x:c r="D23" s="16" t="str"/>
      <x:c r="E23" s="16" t="str"/>
      <x:c r="F23" s="16" t="str"/>
    </x:row>
    <x:row r="24" ht="34" customHeight="1">
      <x:c r="A24" s="16" t="str">
        <x:v>Figure 2-1</x:v>
      </x:c>
      <x:c r="B24" s="16" t="str">
        <x:v>Figure notes identify data sources and any contouring/exclusion limitations.</x:v>
      </x:c>
      <x:c r="C24" s="16" t="str">
        <x:v>Not Reviewed</x:v>
      </x:c>
      <x:c r="D24" s="16" t="str"/>
      <x:c r="E24" s="16" t="str"/>
      <x:c r="F24" s="16" t="str"/>
    </x:row>
    <x:row r="25" ht="34" customHeight="1">
      <x:c r="A25" s="16" t="str">
        <x:v>Figure 3-1</x:v>
      </x:c>
      <x:c r="B25" s="16" t="str">
        <x:v>Figure number and title match the report register.</x:v>
      </x:c>
      <x:c r="C25" s="16" t="str">
        <x:v>Not Reviewed</x:v>
      </x:c>
      <x:c r="D25" s="16" t="str"/>
      <x:c r="E25" s="16" t="str"/>
      <x:c r="F25" s="16" t="str"/>
    </x:row>
    <x:row r="26" ht="34" customHeight="1">
      <x:c r="A26" s="16" t="str">
        <x:v>Figure 3-1</x:v>
      </x:c>
      <x:c r="B26" s="16" t="str">
        <x:v>Year is 2025 and site naming uses SS045 consistently.</x:v>
      </x:c>
      <x:c r="C26" s="16" t="str">
        <x:v>Not Reviewed</x:v>
      </x:c>
      <x:c r="D26" s="16" t="str"/>
      <x:c r="E26" s="16" t="str"/>
      <x:c r="F26" s="16" t="str"/>
    </x:row>
    <x:row r="27" ht="34" customHeight="1">
      <x:c r="A27" s="16" t="str">
        <x:v>Figure 3-1</x:v>
      </x:c>
      <x:c r="B27" s="16" t="str">
        <x:v>North arrow, scale bar, coordinate system, and datum are shown.</x:v>
      </x:c>
      <x:c r="C27" s="16" t="str">
        <x:v>Not Reviewed</x:v>
      </x:c>
      <x:c r="D27" s="16" t="str"/>
      <x:c r="E27" s="16" t="str"/>
      <x:c r="F27" s="16" t="str"/>
    </x:row>
    <x:row r="28" ht="34" customHeight="1">
      <x:c r="A28" s="16" t="str">
        <x:v>Figure 3-1</x:v>
      </x:c>
      <x:c r="B28" s="16" t="str">
        <x:v>Legend defines all symbols and site-area boundaries.</x:v>
      </x:c>
      <x:c r="C28" s="16" t="str">
        <x:v>Not Reviewed</x:v>
      </x:c>
      <x:c r="D28" s="16" t="str"/>
      <x:c r="E28" s="16" t="str"/>
      <x:c r="F28" s="16" t="str"/>
    </x:row>
    <x:row r="29" ht="34" customHeight="1">
      <x:c r="A29" s="16" t="str">
        <x:v>Figure 3-1</x:v>
      </x:c>
      <x:c r="B29" s="16" t="str">
        <x:v>Well locations match GIS_Input sheet and project GIS source layers.</x:v>
      </x:c>
      <x:c r="C29" s="16" t="str">
        <x:v>Not Reviewed</x:v>
      </x:c>
      <x:c r="D29" s="16" t="str"/>
      <x:c r="E29" s="16" t="str"/>
      <x:c r="F29" s="16" t="str"/>
    </x:row>
    <x:row r="30" ht="34" customHeight="1">
      <x:c r="A30" s="16" t="str">
        <x:v>Figure 3-1</x:v>
      </x:c>
      <x:c r="B30" s="16" t="str">
        <x:v>A39MW097 is shown as a field exception only where relevant.</x:v>
      </x:c>
      <x:c r="C30" s="16" t="str">
        <x:v>Not Reviewed</x:v>
      </x:c>
      <x:c r="D30" s="16" t="str"/>
      <x:c r="E30" s="16" t="str"/>
      <x:c r="F30" s="16" t="str"/>
    </x:row>
    <x:row r="31" ht="34" customHeight="1">
      <x:c r="A31" s="16" t="str">
        <x:v>Figure 3-1</x:v>
      </x:c>
      <x:c r="B31" s="16" t="str">
        <x:v>COC exceedance labels match Table 3-1 exactly.</x:v>
      </x:c>
      <x:c r="C31" s="16" t="str">
        <x:v>Not Reviewed</x:v>
      </x:c>
      <x:c r="D31" s="16" t="str"/>
      <x:c r="E31" s="16" t="str"/>
      <x:c r="F31" s="16" t="str"/>
    </x:row>
    <x:row r="32" ht="34" customHeight="1">
      <x:c r="A32" s="16" t="str">
        <x:v>Figure 3-1</x:v>
      </x:c>
      <x:c r="B32" s="16" t="str">
        <x:v>Non-exceedance wells are not visually over-emphasized.</x:v>
      </x:c>
      <x:c r="C32" s="16" t="str">
        <x:v>Not Reviewed</x:v>
      </x:c>
      <x:c r="D32" s="16" t="str"/>
      <x:c r="E32" s="16" t="str"/>
      <x:c r="F32" s="16" t="str"/>
    </x:row>
    <x:row r="33" ht="34" customHeight="1">
      <x:c r="A33" s="16" t="str">
        <x:v>Figure 3-1</x:v>
      </x:c>
      <x:c r="B33" s="16" t="str">
        <x:v>Site areas are presented as interpretive areas within a single SS045 plume.</x:v>
      </x:c>
      <x:c r="C33" s="16" t="str">
        <x:v>Not Reviewed</x:v>
      </x:c>
      <x:c r="D33" s="16" t="str"/>
      <x:c r="E33" s="16" t="str"/>
      <x:c r="F33" s="16" t="str"/>
    </x:row>
    <x:row r="34" ht="34" customHeight="1">
      <x:c r="A34" s="16" t="str">
        <x:v>Figure 3-1</x:v>
      </x:c>
      <x:c r="B34" s="16" t="str">
        <x:v>Figure notes identify data sources and any contouring/exclusion limitations.</x:v>
      </x:c>
      <x:c r="C34" s="16" t="str">
        <x:v>Not Reviewed</x:v>
      </x:c>
      <x:c r="D34" s="16" t="str"/>
      <x:c r="E34" s="16" t="str"/>
      <x:c r="F34" s="16" t="str"/>
    </x:row>
    <x:row r="35" ht="34" customHeight="1">
      <x:c r="A35" s="16" t="str">
        <x:v>Figure 3-2</x:v>
      </x:c>
      <x:c r="B35" s="16" t="str">
        <x:v>Figure number and title match the report register.</x:v>
      </x:c>
      <x:c r="C35" s="16" t="str">
        <x:v>Not Reviewed</x:v>
      </x:c>
      <x:c r="D35" s="16" t="str"/>
      <x:c r="E35" s="16" t="str"/>
      <x:c r="F35" s="16" t="str"/>
    </x:row>
    <x:row r="36" ht="34" customHeight="1">
      <x:c r="A36" s="16" t="str">
        <x:v>Figure 3-2</x:v>
      </x:c>
      <x:c r="B36" s="16" t="str">
        <x:v>Year is 2025 and site naming uses SS045 consistently.</x:v>
      </x:c>
      <x:c r="C36" s="16" t="str">
        <x:v>Not Reviewed</x:v>
      </x:c>
      <x:c r="D36" s="16" t="str"/>
      <x:c r="E36" s="16" t="str"/>
      <x:c r="F36" s="16" t="str"/>
    </x:row>
    <x:row r="37" ht="34" customHeight="1">
      <x:c r="A37" s="16" t="str">
        <x:v>Figure 3-2</x:v>
      </x:c>
      <x:c r="B37" s="16" t="str">
        <x:v>North arrow, scale bar, coordinate system, and datum are shown.</x:v>
      </x:c>
      <x:c r="C37" s="16" t="str">
        <x:v>Not Reviewed</x:v>
      </x:c>
      <x:c r="D37" s="16" t="str"/>
      <x:c r="E37" s="16" t="str"/>
      <x:c r="F37" s="16" t="str"/>
    </x:row>
    <x:row r="38" ht="34" customHeight="1">
      <x:c r="A38" s="16" t="str">
        <x:v>Figure 3-2</x:v>
      </x:c>
      <x:c r="B38" s="16" t="str">
        <x:v>Legend defines all symbols and site-area boundaries.</x:v>
      </x:c>
      <x:c r="C38" s="16" t="str">
        <x:v>Not Reviewed</x:v>
      </x:c>
      <x:c r="D38" s="16" t="str"/>
      <x:c r="E38" s="16" t="str"/>
      <x:c r="F38" s="16" t="str"/>
    </x:row>
    <x:row r="39" ht="34" customHeight="1">
      <x:c r="A39" s="16" t="str">
        <x:v>Figure 3-2</x:v>
      </x:c>
      <x:c r="B39" s="16" t="str">
        <x:v>Well locations match GIS_Input sheet and project GIS source layers.</x:v>
      </x:c>
      <x:c r="C39" s="16" t="str">
        <x:v>Not Reviewed</x:v>
      </x:c>
      <x:c r="D39" s="16" t="str"/>
      <x:c r="E39" s="16" t="str"/>
      <x:c r="F39" s="16" t="str"/>
    </x:row>
    <x:row r="40" ht="34" customHeight="1">
      <x:c r="A40" s="16" t="str">
        <x:v>Figure 3-2</x:v>
      </x:c>
      <x:c r="B40" s="16" t="str">
        <x:v>A39MW097 is shown as a field exception only where relevant.</x:v>
      </x:c>
      <x:c r="C40" s="16" t="str">
        <x:v>Not Reviewed</x:v>
      </x:c>
      <x:c r="D40" s="16" t="str"/>
      <x:c r="E40" s="16" t="str"/>
      <x:c r="F40" s="16" t="str"/>
    </x:row>
    <x:row r="41" ht="34" customHeight="1">
      <x:c r="A41" s="16" t="str">
        <x:v>Figure 3-2</x:v>
      </x:c>
      <x:c r="B41" s="16" t="str">
        <x:v>COC exceedance labels match Table 3-1 exactly.</x:v>
      </x:c>
      <x:c r="C41" s="16" t="str">
        <x:v>Not Reviewed</x:v>
      </x:c>
      <x:c r="D41" s="16" t="str"/>
      <x:c r="E41" s="16" t="str"/>
      <x:c r="F41" s="16" t="str"/>
    </x:row>
    <x:row r="42" ht="34" customHeight="1">
      <x:c r="A42" s="16" t="str">
        <x:v>Figure 3-2</x:v>
      </x:c>
      <x:c r="B42" s="16" t="str">
        <x:v>Non-exceedance wells are not visually over-emphasized.</x:v>
      </x:c>
      <x:c r="C42" s="16" t="str">
        <x:v>Not Reviewed</x:v>
      </x:c>
      <x:c r="D42" s="16" t="str"/>
      <x:c r="E42" s="16" t="str"/>
      <x:c r="F42" s="16" t="str"/>
    </x:row>
    <x:row r="43" ht="34" customHeight="1">
      <x:c r="A43" s="16" t="str">
        <x:v>Figure 3-2</x:v>
      </x:c>
      <x:c r="B43" s="16" t="str">
        <x:v>Site areas are presented as interpretive areas within a single SS045 plume.</x:v>
      </x:c>
      <x:c r="C43" s="16" t="str">
        <x:v>Not Reviewed</x:v>
      </x:c>
      <x:c r="D43" s="16" t="str"/>
      <x:c r="E43" s="16" t="str"/>
      <x:c r="F43" s="16" t="str"/>
    </x:row>
    <x:row r="44" ht="34" customHeight="1">
      <x:c r="A44" s="16" t="str">
        <x:v>Figure 3-2</x:v>
      </x:c>
      <x:c r="B44" s="16" t="str">
        <x:v>Figure notes identify data sources and any contouring/exclusion limitations.</x:v>
      </x:c>
      <x:c r="C44" s="16" t="str">
        <x:v>Not Reviewed</x:v>
      </x:c>
      <x:c r="D44" s="16" t="str"/>
      <x:c r="E44" s="16" t="str"/>
      <x:c r="F44" s="16" t="str"/>
    </x:row>
    <x:row r="45" ht="34" customHeight="1">
      <x:c r="A45" s="16" t="str">
        <x:v>Figure 3-3</x:v>
      </x:c>
      <x:c r="B45" s="16" t="str">
        <x:v>Figure number and title match the report register.</x:v>
      </x:c>
      <x:c r="C45" s="16" t="str">
        <x:v>Not Reviewed</x:v>
      </x:c>
      <x:c r="D45" s="16" t="str"/>
      <x:c r="E45" s="16" t="str"/>
      <x:c r="F45" s="16" t="str"/>
    </x:row>
    <x:row r="46" ht="34" customHeight="1">
      <x:c r="A46" s="16" t="str">
        <x:v>Figure 3-3</x:v>
      </x:c>
      <x:c r="B46" s="16" t="str">
        <x:v>Year is 2025 and site naming uses SS045 consistently.</x:v>
      </x:c>
      <x:c r="C46" s="16" t="str">
        <x:v>Not Reviewed</x:v>
      </x:c>
      <x:c r="D46" s="16" t="str"/>
      <x:c r="E46" s="16" t="str"/>
      <x:c r="F46" s="16" t="str"/>
    </x:row>
    <x:row r="47" ht="34" customHeight="1">
      <x:c r="A47" s="16" t="str">
        <x:v>Figure 3-3</x:v>
      </x:c>
      <x:c r="B47" s="16" t="str">
        <x:v>North arrow, scale bar, coordinate system, and datum are shown.</x:v>
      </x:c>
      <x:c r="C47" s="16" t="str">
        <x:v>Not Reviewed</x:v>
      </x:c>
      <x:c r="D47" s="16" t="str"/>
      <x:c r="E47" s="16" t="str"/>
      <x:c r="F47" s="16" t="str"/>
    </x:row>
    <x:row r="48" ht="34" customHeight="1">
      <x:c r="A48" s="16" t="str">
        <x:v>Figure 3-3</x:v>
      </x:c>
      <x:c r="B48" s="16" t="str">
        <x:v>Legend defines all symbols and site-area boundaries.</x:v>
      </x:c>
      <x:c r="C48" s="16" t="str">
        <x:v>Not Reviewed</x:v>
      </x:c>
      <x:c r="D48" s="16" t="str"/>
      <x:c r="E48" s="16" t="str"/>
      <x:c r="F48" s="16" t="str"/>
    </x:row>
    <x:row r="49" ht="34" customHeight="1">
      <x:c r="A49" s="16" t="str">
        <x:v>Figure 3-3</x:v>
      </x:c>
      <x:c r="B49" s="16" t="str">
        <x:v>Well locations match GIS_Input sheet and project GIS source layers.</x:v>
      </x:c>
      <x:c r="C49" s="16" t="str">
        <x:v>Not Reviewed</x:v>
      </x:c>
      <x:c r="D49" s="16" t="str"/>
      <x:c r="E49" s="16" t="str"/>
      <x:c r="F49" s="16" t="str"/>
    </x:row>
    <x:row r="50" ht="34" customHeight="1">
      <x:c r="A50" s="16" t="str">
        <x:v>Figure 3-3</x:v>
      </x:c>
      <x:c r="B50" s="16" t="str">
        <x:v>A39MW097 is shown as a field exception only where relevant.</x:v>
      </x:c>
      <x:c r="C50" s="16" t="str">
        <x:v>Not Reviewed</x:v>
      </x:c>
      <x:c r="D50" s="16" t="str"/>
      <x:c r="E50" s="16" t="str"/>
      <x:c r="F50" s="16" t="str"/>
    </x:row>
    <x:row r="51" ht="34" customHeight="1">
      <x:c r="A51" s="16" t="str">
        <x:v>Figure 3-3</x:v>
      </x:c>
      <x:c r="B51" s="16" t="str">
        <x:v>COC exceedance labels match Table 3-1 exactly.</x:v>
      </x:c>
      <x:c r="C51" s="16" t="str">
        <x:v>Not Reviewed</x:v>
      </x:c>
      <x:c r="D51" s="16" t="str"/>
      <x:c r="E51" s="16" t="str"/>
      <x:c r="F51" s="16" t="str"/>
    </x:row>
    <x:row r="52" ht="34" customHeight="1">
      <x:c r="A52" s="16" t="str">
        <x:v>Figure 3-3</x:v>
      </x:c>
      <x:c r="B52" s="16" t="str">
        <x:v>Non-exceedance wells are not visually over-emphasized.</x:v>
      </x:c>
      <x:c r="C52" s="16" t="str">
        <x:v>Not Reviewed</x:v>
      </x:c>
      <x:c r="D52" s="16" t="str"/>
      <x:c r="E52" s="16" t="str"/>
      <x:c r="F52" s="16" t="str"/>
    </x:row>
    <x:row r="53" ht="34" customHeight="1">
      <x:c r="A53" s="16" t="str">
        <x:v>Figure 3-3</x:v>
      </x:c>
      <x:c r="B53" s="16" t="str">
        <x:v>Site areas are presented as interpretive areas within a single SS045 plume.</x:v>
      </x:c>
      <x:c r="C53" s="16" t="str">
        <x:v>Not Reviewed</x:v>
      </x:c>
      <x:c r="D53" s="16" t="str"/>
      <x:c r="E53" s="16" t="str"/>
      <x:c r="F53" s="16" t="str"/>
    </x:row>
    <x:row r="54" ht="34" customHeight="1">
      <x:c r="A54" s="16" t="str">
        <x:v>Figure 3-3</x:v>
      </x:c>
      <x:c r="B54" s="16" t="str">
        <x:v>Figure notes identify data sources and any contouring/exclusion limitations.</x:v>
      </x:c>
      <x:c r="C54" s="16" t="str">
        <x:v>Not Reviewed</x:v>
      </x:c>
      <x:c r="D54" s="16" t="str"/>
      <x:c r="E54" s="16" t="str"/>
      <x:c r="F54" s="16" t="str"/>
    </x:row>
    <x:row r="55" ht="34" customHeight="1">
      <x:c r="A55" s="16" t="str">
        <x:v>Figure 4-1</x:v>
      </x:c>
      <x:c r="B55" s="16" t="str">
        <x:v>Figure number and title match the report register.</x:v>
      </x:c>
      <x:c r="C55" s="16" t="str">
        <x:v>Not Reviewed</x:v>
      </x:c>
      <x:c r="D55" s="16" t="str"/>
      <x:c r="E55" s="16" t="str"/>
      <x:c r="F55" s="16" t="str"/>
    </x:row>
    <x:row r="56" ht="34" customHeight="1">
      <x:c r="A56" s="16" t="str">
        <x:v>Figure 4-1</x:v>
      </x:c>
      <x:c r="B56" s="16" t="str">
        <x:v>Year is 2025 and site naming uses SS045 consistently.</x:v>
      </x:c>
      <x:c r="C56" s="16" t="str">
        <x:v>Not Reviewed</x:v>
      </x:c>
      <x:c r="D56" s="16" t="str"/>
      <x:c r="E56" s="16" t="str"/>
      <x:c r="F56" s="16" t="str"/>
    </x:row>
    <x:row r="57" ht="34" customHeight="1">
      <x:c r="A57" s="16" t="str">
        <x:v>Figure 4-1</x:v>
      </x:c>
      <x:c r="B57" s="16" t="str">
        <x:v>North arrow, scale bar, coordinate system, and datum are shown.</x:v>
      </x:c>
      <x:c r="C57" s="16" t="str">
        <x:v>Not Reviewed</x:v>
      </x:c>
      <x:c r="D57" s="16" t="str"/>
      <x:c r="E57" s="16" t="str"/>
      <x:c r="F57" s="16" t="str"/>
    </x:row>
    <x:row r="58" ht="34" customHeight="1">
      <x:c r="A58" s="16" t="str">
        <x:v>Figure 4-1</x:v>
      </x:c>
      <x:c r="B58" s="16" t="str">
        <x:v>Legend defines all symbols and site-area boundaries.</x:v>
      </x:c>
      <x:c r="C58" s="16" t="str">
        <x:v>Not Reviewed</x:v>
      </x:c>
      <x:c r="D58" s="16" t="str"/>
      <x:c r="E58" s="16" t="str"/>
      <x:c r="F58" s="16" t="str"/>
    </x:row>
    <x:row r="59" ht="34" customHeight="1">
      <x:c r="A59" s="16" t="str">
        <x:v>Figure 4-1</x:v>
      </x:c>
      <x:c r="B59" s="16" t="str">
        <x:v>Well locations match GIS_Input sheet and project GIS source layers.</x:v>
      </x:c>
      <x:c r="C59" s="16" t="str">
        <x:v>Not Reviewed</x:v>
      </x:c>
      <x:c r="D59" s="16" t="str"/>
      <x:c r="E59" s="16" t="str"/>
      <x:c r="F59" s="16" t="str"/>
    </x:row>
    <x:row r="60" ht="34" customHeight="1">
      <x:c r="A60" s="16" t="str">
        <x:v>Figure 4-1</x:v>
      </x:c>
      <x:c r="B60" s="16" t="str">
        <x:v>A39MW097 is shown as a field exception only where relevant.</x:v>
      </x:c>
      <x:c r="C60" s="16" t="str">
        <x:v>Not Reviewed</x:v>
      </x:c>
      <x:c r="D60" s="16" t="str"/>
      <x:c r="E60" s="16" t="str"/>
      <x:c r="F60" s="16" t="str"/>
    </x:row>
    <x:row r="61" ht="34" customHeight="1">
      <x:c r="A61" s="16" t="str">
        <x:v>Figure 4-1</x:v>
      </x:c>
      <x:c r="B61" s="16" t="str">
        <x:v>COC exceedance labels match Table 3-1 exactly.</x:v>
      </x:c>
      <x:c r="C61" s="16" t="str">
        <x:v>Not Reviewed</x:v>
      </x:c>
      <x:c r="D61" s="16" t="str"/>
      <x:c r="E61" s="16" t="str"/>
      <x:c r="F61" s="16" t="str"/>
    </x:row>
    <x:row r="62" ht="34" customHeight="1">
      <x:c r="A62" s="16" t="str">
        <x:v>Figure 4-1</x:v>
      </x:c>
      <x:c r="B62" s="16" t="str">
        <x:v>Non-exceedance wells are not visually over-emphasized.</x:v>
      </x:c>
      <x:c r="C62" s="16" t="str">
        <x:v>Not Reviewed</x:v>
      </x:c>
      <x:c r="D62" s="16" t="str"/>
      <x:c r="E62" s="16" t="str"/>
      <x:c r="F62" s="16" t="str"/>
    </x:row>
    <x:row r="63" ht="34" customHeight="1">
      <x:c r="A63" s="16" t="str">
        <x:v>Figure 4-1</x:v>
      </x:c>
      <x:c r="B63" s="16" t="str">
        <x:v>Site areas are presented as interpretive areas within a single SS045 plume.</x:v>
      </x:c>
      <x:c r="C63" s="16" t="str">
        <x:v>Not Reviewed</x:v>
      </x:c>
      <x:c r="D63" s="16" t="str"/>
      <x:c r="E63" s="16" t="str"/>
      <x:c r="F63" s="16" t="str"/>
    </x:row>
    <x:row r="64" ht="34" customHeight="1">
      <x:c r="A64" s="16" t="str">
        <x:v>Figure 4-1</x:v>
      </x:c>
      <x:c r="B64" s="16" t="str">
        <x:v>Figure notes identify data sources and any contouring/exclusion limitations.</x:v>
      </x:c>
      <x:c r="C64" s="16" t="str">
        <x:v>Not Reviewed</x:v>
      </x:c>
      <x:c r="D64" s="16" t="str"/>
      <x:c r="E64" s="16" t="str"/>
      <x:c r="F64" s="16" t="str"/>
    </x:row>
  </x:sheetData>
  <x:pageMargins left="0.7" right="0.7" top="0.75" bottom="0.75" header="0.3" footer="0.3"/>
  <x:tableParts count="1">
    <x:tablePart xmlns:r="http://schemas.openxmlformats.org/officeDocument/2006/relationships" r:id="R7066887007bf44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60" hidden="0" customWidth="1"/>
    <x:col min="3" max="3" width="60" hidden="0" customWidth="1"/>
    <x:col min="4" max="4" width="18" hidden="0" customWidth="1"/>
    <x:col min="5" max="5" width="60" hidden="0" customWidth="1"/>
  </x:cols>
  <x:sheetData>
    <x:row r="1">
      <x:c r="A1" s="2" t="str">
        <x:v>Sources, Assumptions, and Open Reconciliation Items</x:v>
      </x:c>
      <x:c r="B1" s="2"/>
      <x:c r="C1" s="2"/>
      <x:c r="D1" s="2"/>
      <x:c r="E1" s="2"/>
      <x:c r="F1" s="2"/>
      <x:c r="G1" s="2"/>
      <x:c r="H1" s="2"/>
    </x:row>
    <x:row r="4">
      <x:c r="A4" s="12" t="str">
        <x:v>Source Document / Workbook</x:v>
      </x:c>
      <x:c r="B4" s="12" t="str">
        <x:v>Workbook Use</x:v>
      </x:c>
      <x:c r="C4" s="12" t="str">
        <x:v>Source Location / File</x:v>
      </x:c>
      <x:c r="D4" s="12" t="str">
        <x:v>Status</x:v>
      </x:c>
      <x:c r="E4" s="12" t="str">
        <x:v>Notes</x:v>
      </x:c>
    </x:row>
    <x:row r="5" ht="65" customHeight="1">
      <x:c r="A5" s="16" t="str">
        <x:v>Source Document / Workbook</x:v>
      </x:c>
      <x:c r="B5" s="16" t="str">
        <x:v>Workbook Use</x:v>
      </x:c>
      <x:c r="C5" s="16" t="str">
        <x:v>Source Location / File</x:v>
      </x:c>
      <x:c r="D5" s="16" t="str">
        <x:v>Status</x:v>
      </x:c>
      <x:c r="E5" s="16" t="str">
        <x:v>Notes</x:v>
      </x:c>
    </x:row>
    <x:row r="6" ht="65" customHeight="1">
      <x:c r="A6" s="16" t="str">
        <x:v>Attachment 1A – SWMU 332 Monitoring Well Inspection/Maintenance Summary</x:v>
      </x:c>
      <x:c r="B6" s="16" t="str">
        <x:v>Well coordinates, A/B/G status, well construction, groundwater elevations, inspection dates, A39MW097 not found.</x:v>
      </x:c>
      <x:c r="C6" s="16" t="str">
        <x:v>Attachment 1A(1).pdf</x:v>
      </x:c>
      <x:c r="D6" s="16" t="str">
        <x:v>Working source</x:v>
      </x:c>
      <x:c r="E6" s="16" t="str">
        <x:v>Source table title contains a typographical error as SMWU; use SWMU in AMR text.</x:v>
      </x:c>
    </x:row>
    <x:row r="7" ht="65" customHeight="1">
      <x:c r="A7" s="16" t="str">
        <x:v>2025 AMR Table 2-2 – Monitoring Scope Compliance Matrix</x:v>
      </x:c>
      <x:c r="B7" s="16" t="str">
        <x:v>Sampled/not sampled status, required analytical suites, 2025 sample IDs, A39MW097 field exception.</x:v>
      </x:c>
      <x:c r="C7" s="16" t="str">
        <x:v>02_Tables\2025_SS045_AMR_Tables_1-1_to_5-1_Working.xlsx</x:v>
      </x:c>
      <x:c r="D7" s="16" t="str">
        <x:v>Working table</x:v>
      </x:c>
      <x:c r="E7" s="16" t="str">
        <x:v>Final scope table should be checked before client submittal.</x:v>
      </x:c>
    </x:row>
    <x:row r="8" ht="65" customHeight="1">
      <x:c r="A8" s="16" t="str">
        <x:v>2025 AMR Table 3-1 – COC Exceedance and Remedy-Performance Summary</x:v>
      </x:c>
      <x:c r="B8" s="16" t="str">
        <x:v>2025 COC exceedance flag, COCs above BCT-CSL, result summary, source SDG, label priority.</x:v>
      </x:c>
      <x:c r="C8" s="16" t="str">
        <x:v>02_Tables\2025_SS045_AMR_Tables_1-1_to_5-1_Working.xlsx</x:v>
      </x:c>
      <x:c r="D8" s="16" t="str">
        <x:v>Working table</x:v>
      </x:c>
      <x:c r="E8" s="16" t="str">
        <x:v>Final analytical summary table should control final result values.</x:v>
      </x:c>
    </x:row>
    <x:row r="9" ht="65" customHeight="1">
      <x:c r="A9" s="16" t="str">
        <x:v>2025 AMR Table 4-1 – Priority-Well Trend and MNA Interpretation Summary</x:v>
      </x:c>
      <x:c r="B9" s="16" t="str">
        <x:v>Priority well selection and trend-plate linkage.</x:v>
      </x:c>
      <x:c r="C9" s="16" t="str">
        <x:v>02_Tables\2025_SS045_AMR_Tables_1-1_to_5-1_Working.xlsx</x:v>
      </x:c>
      <x:c r="D9" s="16" t="str">
        <x:v>Working table</x:v>
      </x:c>
      <x:c r="E9" s="16" t="str">
        <x:v>Update after final trend plates are accepted.</x:v>
      </x:c>
    </x:row>
    <x:row r="10" ht="65" customHeight="1">
      <x:c r="A10" s="16" t="str">
        <x:v>2026 CMIWP / Work Plan source basis</x:v>
      </x:c>
      <x:c r="B10" s="16" t="str">
        <x:v>Single-plume/site-area framing and MNA/LUC remedy reporting basis.</x:v>
      </x:c>
      <x:c r="C10" s="16" t="str">
        <x:v>Controlled project folder; excerpts in 00_AMR_Control</x:v>
      </x:c>
      <x:c r="D10" s="16" t="str">
        <x:v>Reference basis</x:v>
      </x:c>
      <x:c r="E10" s="16" t="str">
        <x:v>Do not duplicate full source documents inside SS045 AMR folder.</x:v>
      </x:c>
    </x:row>
  </x:sheetData>
  <x:pageMargins left="0.7" right="0.7" top="0.75" bottom="0.75" header="0.3" footer="0.3"/>
  <x:tableParts count="1">
    <x:tablePart xmlns:r="http://schemas.openxmlformats.org/officeDocument/2006/relationships" r:id="R15c7199c1a014819"/>
  </x:tableParts>
</x:worksheet>
</file>