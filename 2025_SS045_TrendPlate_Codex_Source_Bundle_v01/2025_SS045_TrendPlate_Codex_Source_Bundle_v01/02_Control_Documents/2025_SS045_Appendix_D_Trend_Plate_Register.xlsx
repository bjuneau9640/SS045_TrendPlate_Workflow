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26e0ba8ea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69a3c3d85646c2"/>
    <x:sheet xmlns:r="http://schemas.openxmlformats.org/officeDocument/2006/relationships" name="Plate_Register" sheetId="2" r:id="Rbfaa1a98f7684a2a"/>
    <x:sheet xmlns:r="http://schemas.openxmlformats.org/officeDocument/2006/relationships" name="Template_Spec" sheetId="3" r:id="R9cdf3259a38a4c0e"/>
    <x:sheet xmlns:r="http://schemas.openxmlformats.org/officeDocument/2006/relationships" name="Plotting_Conventions" sheetId="4" r:id="R0a220fdfc54d4292"/>
    <x:sheet xmlns:r="http://schemas.openxmlformats.org/officeDocument/2006/relationships" name="Data_Inputs" sheetId="5" r:id="Rad830f5b7f9246f9"/>
    <x:sheet xmlns:r="http://schemas.openxmlformats.org/officeDocument/2006/relationships" name="Appendix_D_Assembly" sheetId="6" r:id="R3247e12d3deb4d9d"/>
    <x:sheet xmlns:r="http://schemas.openxmlformats.org/officeDocument/2006/relationships" name="QAQC_Checklist" sheetId="7" r:id="R4e6954779c4c42aa"/>
    <x:sheet xmlns:r="http://schemas.openxmlformats.org/officeDocument/2006/relationships" name="Optional_Watch_List" sheetId="8" r:id="R0552a2ab4ff54c1f"/>
    <x:sheet xmlns:r="http://schemas.openxmlformats.org/officeDocument/2006/relationships" name="Sources_Assumptions" sheetId="9" r:id="R41d4933220f1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name val="Carlito"/>
    </x:font>
    <x:font>
      <x:i/>
      <x:sz val="10"/>
      <x:name val="Carlito"/>
    </x:font>
    <x:font>
      <x:b/>
      <x:sz val="11"/>
      <x:name val="Carlito"/>
    </x:font>
    <x:font>
      <x:b/>
      <x:sz val="10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borderId="0" xfId="0" applyNumberFormat="1" applyFont="1" applyFill="0" applyBorder="1" applyAlignment="1">
      <x:alignment wrapText="1"/>
    </x:xf>
    <x:xf numFmtId="0" fontId="5" fillId="0" borderId="0" xfId="0" applyNumberFormat="1" applyFont="1" applyFill="1" applyBorder="1"/>
    <x:xf numFmtId="0" fontId="4" borderId="1" xfId="0" applyNumberFormat="1" applyFont="1" applyFill="0" applyBorder="1" applyAlignment="1">
      <x:alignment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0a085812b4561" /><Relationship Type="http://schemas.openxmlformats.org/officeDocument/2006/relationships/theme" Target="/xl/theme/theme1.xml" Id="R1191d49900704c9c" /><Relationship Type="http://schemas.openxmlformats.org/officeDocument/2006/relationships/sharedStrings" Target="/xl/sharedStrings.xml" Id="R96625e52e8244a19" /><Relationship Type="http://schemas.openxmlformats.org/officeDocument/2006/relationships/worksheet" Target="/xl/worksheets/sheet1.xml" Id="R8c69a3c3d85646c2" /><Relationship Type="http://schemas.openxmlformats.org/officeDocument/2006/relationships/worksheet" Target="/xl/worksheets/sheet2.xml" Id="Rbfaa1a98f7684a2a" /><Relationship Type="http://schemas.openxmlformats.org/officeDocument/2006/relationships/worksheet" Target="/xl/worksheets/sheet3.xml" Id="R9cdf3259a38a4c0e" /><Relationship Type="http://schemas.openxmlformats.org/officeDocument/2006/relationships/worksheet" Target="/xl/worksheets/sheet4.xml" Id="R0a220fdfc54d4292" /><Relationship Type="http://schemas.openxmlformats.org/officeDocument/2006/relationships/worksheet" Target="/xl/worksheets/sheet5.xml" Id="Rad830f5b7f9246f9" /><Relationship Type="http://schemas.openxmlformats.org/officeDocument/2006/relationships/worksheet" Target="/xl/worksheets/sheet6.xml" Id="R3247e12d3deb4d9d" /><Relationship Type="http://schemas.openxmlformats.org/officeDocument/2006/relationships/worksheet" Target="/xl/worksheets/sheet7.xml" Id="R4e6954779c4c42aa" /><Relationship Type="http://schemas.openxmlformats.org/officeDocument/2006/relationships/worksheet" Target="/xl/worksheets/sheet8.xml" Id="R0552a2ab4ff54c1f" /><Relationship Type="http://schemas.openxmlformats.org/officeDocument/2006/relationships/worksheet" Target="/xl/worksheets/sheet9.xml" Id="R41d4933220f14c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4" max="4" width="28" hidden="0" customWidth="1"/>
    <x:col min="5" max="5" width="22" hidden="0" customWidth="1"/>
    <x:col min="6" max="6" width="50" hidden="0" customWidth="1"/>
  </x:cols>
  <x:sheetData>
    <x:row r="1" ht="28" customHeight="1">
      <x:c r="A1" s="18" t="str">
        <x:v>Appendix D / Trend Plate Register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Control workbook for 2025 SS045 AMR trend plates and Appendix D assembly</x:v>
      </x:c>
    </x:row>
    <x:row r="4" ht="34" customHeight="1">
      <x:c r="A4" s="14" t="str">
        <x:v>Save Location</x:v>
      </x:c>
      <x:c r="B4" s="16" t="str">
        <x:v>04_Trend_Plates\2025_SS045_Appendix_D_Trend_Plate_Register.xlsx</x:v>
      </x:c>
      <x:c r="D4" s="12" t="str">
        <x:v>Plate Development Summary</x:v>
      </x:c>
    </x:row>
    <x:row r="5" ht="34" customHeight="1">
      <x:c r="A5" s="14" t="str">
        <x:v>Purpose</x:v>
      </x:c>
      <x:c r="B5" s="16" t="str">
        <x:v>Control the priority-well trend plates, Appendix D contents, plotting conventions, data-input requirements, and QA/QC status before drafting the report text.</x:v>
      </x:c>
      <x:c r="D5" s="14" t="str">
        <x:v>Metric</x:v>
      </x:c>
      <x:c r="E5" s="14" t="str">
        <x:v>Formula / Value</x:v>
      </x:c>
      <x:c r="F5" s="14" t="str">
        <x:v>Notes</x:v>
      </x:c>
    </x:row>
    <x:row r="6" ht="34" customHeight="1">
      <x:c r="A6" s="14" t="str">
        <x:v>Reporting Approach</x:v>
      </x:c>
      <x:c r="B6" s="16" t="str">
        <x:v>The main report will summarize remedy performance using Tables 3-1, 3-3, and 4-1. Appendix D will provide the supporting historical data and 11x17 trend plates.</x:v>
      </x:c>
      <x:c r="D6" s="16" t="str">
        <x:v>Total priority plates</x:v>
      </x:c>
      <x:c r="E6" s="16" t="n">
        <x:f>COUNTA(Plate_Register!A5:A100)</x:f>
        <x:v>16</x:v>
      </x:c>
      <x:c r="F6" s="16" t="str">
        <x:v>Rows in Plate_Register with a plate number.</x:v>
      </x:c>
    </x:row>
    <x:row r="7" ht="34" customHeight="1">
      <x:c r="A7" s="14" t="str">
        <x:v>Current Plate Set</x:v>
      </x:c>
      <x:c r="B7" s="16" t="str">
        <x:v>Priority plates are limited to wells with 2025 COC exceedances or wells needed to support focused remedy-performance interpretation.</x:v>
      </x:c>
      <x:c r="D7" s="16" t="str">
        <x:v>Current-year exceedance plates</x:v>
      </x:c>
      <x:c r="E7" s="16" t="n">
        <x:f>COUNTIF(Plate_Register!J5:J100,"Yes")</x:f>
        <x:v>16</x:v>
      </x:c>
      <x:c r="F7" s="16" t="str">
        <x:v>Priority plates tied to 2025 exceedances.</x:v>
      </x:c>
    </x:row>
    <x:row r="8" ht="34" customHeight="1">
      <x:c r="A8" s="14" t="str">
        <x:v>Document Rule</x:v>
      </x:c>
      <x:c r="B8" s="16" t="str">
        <x:v>Trend plates should be standalone: plate number, well ID, site area, zone, title, page number, notes, units, acronyms, data sources, and interpretation/action statement.</x:v>
      </x:c>
      <x:c r="D8" s="16" t="str">
        <x:v>North Apron plates</x:v>
      </x:c>
      <x:c r="E8" s="16" t="n">
        <x:f>COUNTIF(Plate_Register!C5:C100,"North Apron")</x:f>
        <x:v>12</x:v>
      </x:c>
      <x:c r="F8" s="16" t="str">
        <x:v>Main long-term performance area.</x:v>
      </x:c>
    </x:row>
    <x:row r="9" ht="34" customHeight="1">
      <x:c r="A9" s="14" t="str">
        <x:v>Status</x:v>
      </x:c>
      <x:c r="B9" s="16" t="str">
        <x:v>Working control workbook; update plate status after prototype approval and after each plate is created.</x:v>
      </x:c>
      <x:c r="D9" s="16" t="str">
        <x:v>Plates not started</x:v>
      </x:c>
      <x:c r="E9" s="16" t="n">
        <x:f>COUNTIF(Plate_Register!O5:O100,"Not started")</x:f>
        <x:v>16</x:v>
      </x:c>
      <x:c r="F9" s="16" t="str">
        <x:v>Update as plates are prepared.</x:v>
      </x:c>
    </x:row>
    <x:row r="10" ht="34" customHeight="1">
      <x:c r="D10" s="16" t="str">
        <x:v>Plates ready for QA/QC</x:v>
      </x:c>
      <x:c r="E10" s="16" t="n">
        <x:f>COUNTIF(Plate_Register!O5:O100,"Ready for QA/QC")</x:f>
        <x:v>0</x:v>
      </x:c>
      <x:c r="F10" s="16" t="str">
        <x:v>Use after working plate is complete.</x:v>
      </x:c>
    </x:row>
    <x:row r="11" ht="34" customHeight="1">
      <x:c r="D11" s="16" t="str">
        <x:v>Plates ready for submittal</x:v>
      </x:c>
      <x:c r="E11" s="16" t="n">
        <x:f>COUNTIF(Plate_Register!O5:O100,"Ready for submittal")</x:f>
        <x:v>0</x:v>
      </x:c>
      <x:c r="F11" s="16" t="str">
        <x:v>Use after QA/QC and final edits.</x:v>
      </x:c>
    </x:row>
  </x:sheetData>
  <x:mergeCells>
    <x:mergeCell ref="A1:J1"/>
    <x:mergeCell ref="A2:J2"/>
    <x:mergeCell ref="D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14" hidden="0" customWidth="1"/>
    <x:col min="5" max="5" width="24" hidden="0" customWidth="1"/>
    <x:col min="6" max="6" width="18" hidden="0" customWidth="1"/>
    <x:col min="7" max="7" width="38" hidden="0" customWidth="1"/>
    <x:col min="8" max="8" width="28" hidden="0" customWidth="1"/>
    <x:col min="9" max="9" width="38" hidden="0" customWidth="1"/>
    <x:col min="10" max="10" width="13" hidden="0" customWidth="1"/>
    <x:col min="11" max="11" width="38" hidden="0" customWidth="1"/>
    <x:col min="12" max="12" width="46" hidden="0" customWidth="1"/>
    <x:col min="13" max="13" width="38" hidden="0" customWidth="1"/>
    <x:col min="14" max="14" width="45" hidden="0" customWidth="1"/>
    <x:col min="15" max="15" width="18" hidden="0" customWidth="1"/>
    <x:col min="16" max="16" width="18" hidden="0" customWidth="1"/>
  </x:cols>
  <x:sheetData>
    <x:row r="1" ht="28" customHeight="1">
      <x:c r="A1" s="18" t="str">
        <x:v>Plate Register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Priority well trend plates for Appendix D and Figure 4-1 index</x:v>
      </x:c>
    </x:row>
    <x:row r="4">
      <x:c r="A4" s="14" t="str">
        <x:v>Plate No.</x:v>
      </x:c>
      <x:c r="B4" s="14" t="str">
        <x:v>Well ID</x:v>
      </x:c>
      <x:c r="C4" s="14" t="str">
        <x:v>Site Area</x:v>
      </x:c>
      <x:c r="D4" s="14" t="str">
        <x:v>Zone</x:v>
      </x:c>
      <x:c r="E4" s="14" t="str">
        <x:v>Well Role</x:v>
      </x:c>
      <x:c r="F4" s="14" t="str">
        <x:v>2025 Monitoring Category</x:v>
      </x:c>
      <x:c r="G4" s="14" t="str">
        <x:v>Primary 2025 Exceedance(s)</x:v>
      </x:c>
      <x:c r="H4" s="14" t="str">
        <x:v>Secondary COCs / Watch Items</x:v>
      </x:c>
      <x:c r="I4" s="14" t="str">
        <x:v>Recommended Plot Series</x:v>
      </x:c>
      <x:c r="J4" s="14" t="str">
        <x:v>2025 Exceedance Plate?</x:v>
      </x:c>
      <x:c r="K4" s="14" t="str">
        <x:v>Plate Purpose</x:v>
      </x:c>
      <x:c r="L4" s="14" t="str">
        <x:v>Interpretation Emphasis</x:v>
      </x:c>
      <x:c r="M4" s="14" t="str">
        <x:v>2026 Action</x:v>
      </x:c>
      <x:c r="N4" s="14" t="str">
        <x:v>Data Inputs Needed</x:v>
      </x:c>
      <x:c r="O4" s="14" t="str">
        <x:v>Plate Status</x:v>
      </x:c>
      <x:c r="P4" s="14" t="str">
        <x:v>QA/QC Status</x:v>
      </x:c>
    </x:row>
    <x:row r="5" ht="54" customHeight="1">
      <x:c r="A5" s="16" t="str">
        <x:v>D-1</x:v>
      </x:c>
      <x:c r="B5" s="16" t="str">
        <x:v>BH01MW02</x:v>
      </x:c>
      <x:c r="C5" s="16" t="str">
        <x:v>Central/BH-01</x:v>
      </x:c>
      <x:c r="D5" s="16" t="str">
        <x:v>Shallow</x:v>
      </x:c>
      <x:c r="E5" s="16" t="str">
        <x:v>Performance / localized residual source area</x:v>
      </x:c>
      <x:c r="F5" s="16" t="str">
        <x:v>Annual VOC + MNA</x:v>
      </x:c>
      <x:c r="G5" s="16" t="str">
        <x:v>Benzene = 13.8 µg/L; VC = 38.7 µg/L</x:v>
      </x:c>
      <x:c r="H5" s="16" t="str">
        <x:v>cis-1,2-DCE below BCT-CSL</x:v>
      </x:c>
      <x:c r="I5" s="16" t="str">
        <x:v>Benzene, VC, cis-1,2-DCE, TCE; GW elevation; MNA indicators where available</x:v>
      </x:c>
      <x:c r="J5" s="16" t="str">
        <x:v>Yes</x:v>
      </x:c>
      <x:c r="K5" s="16" t="str">
        <x:v>Document Central/BH-01 2025 exceedance behavior.</x:v>
      </x:c>
      <x:c r="L5" s="16" t="str">
        <x:v>Benzene and VC exceedances require focused annual confirmation but do not by themselves indicate plume expansion.</x:v>
      </x:c>
      <x:c r="M5" s="16" t="str">
        <x:v>Continue annual VOC + MNA monitoring; evaluate recent direction in trend plate.</x:v>
      </x:c>
      <x:c r="N5" s="16" t="str">
        <x:v>Historical analytical data; 2025 validated results; groundwater elevation; field parameters/MNA data; precipitation series</x:v>
      </x:c>
      <x:c r="O5" s="16" t="str">
        <x:v>Not started</x:v>
      </x:c>
      <x:c r="P5" s="16" t="str">
        <x:v>Not started</x:v>
      </x:c>
    </x:row>
    <x:row r="6" ht="54" customHeight="1">
      <x:c r="A6" s="16" t="str">
        <x:v>D-2</x:v>
      </x:c>
      <x:c r="B6" s="16" t="str">
        <x:v>Well #8</x:v>
      </x:c>
      <x:c r="C6" s="16" t="str">
        <x:v>Le Tig Bayou</x:v>
      </x:c>
      <x:c r="D6" s="16" t="str">
        <x:v>Intermediate</x:v>
      </x:c>
      <x:c r="E6" s="16" t="str">
        <x:v>Performance / residual VC location</x:v>
      </x:c>
      <x:c r="F6" s="16" t="str">
        <x:v>Annual VOC + MNA</x:v>
      </x:c>
      <x:c r="G6" s="16" t="str">
        <x:v>VC = 4.3 µg/L</x:v>
      </x:c>
      <x:c r="H6" s="16" t="str">
        <x:v>TCE/DCE series for dechlorination context</x:v>
      </x:c>
      <x:c r="I6" s="16" t="str">
        <x:v>VC, cis-1,2-DCE, TCE; GW elevation; selected MNA indicators</x:v>
      </x:c>
      <x:c r="J6" s="16" t="str">
        <x:v>Yes</x:v>
      </x:c>
      <x:c r="K6" s="16" t="str">
        <x:v>Document localized VC exceedance in Le Tig Bayou.</x:v>
      </x:c>
      <x:c r="L6" s="16" t="str">
        <x:v>Localized VC exceedance; evaluate whether recent increase is isolated within otherwise stable area.</x:v>
      </x:c>
      <x:c r="M6" s="16" t="str">
        <x:v>Continue annual VOC + MNA monitoring; verify 2026 direction.</x:v>
      </x:c>
      <x:c r="N6" s="16" t="str">
        <x:v>Historical analytical data; 2025 validated results; groundwater elevation; MNA indicators</x:v>
      </x:c>
      <x:c r="O6" s="16" t="str">
        <x:v>Not started</x:v>
      </x:c>
      <x:c r="P6" s="16" t="str">
        <x:v>Not started</x:v>
      </x:c>
    </x:row>
    <x:row r="7" ht="54" customHeight="1">
      <x:c r="A7" s="16" t="str">
        <x:v>D-3</x:v>
      </x:c>
      <x:c r="B7" s="16" t="str">
        <x:v>Well #25</x:v>
      </x:c>
      <x:c r="C7" s="16" t="str">
        <x:v>Le Tig Bayou</x:v>
      </x:c>
      <x:c r="D7" s="16" t="str">
        <x:v>Intermediate</x:v>
      </x:c>
      <x:c r="E7" s="16" t="str">
        <x:v>Performance / residual VC location</x:v>
      </x:c>
      <x:c r="F7" s="16" t="str">
        <x:v>Annual VOC + MNA</x:v>
      </x:c>
      <x:c r="G7" s="16" t="str">
        <x:v>VC = 14.0 µg/L</x:v>
      </x:c>
      <x:c r="H7" s="16" t="str">
        <x:v>cis-1,2-DCE and TCE trend context</x:v>
      </x:c>
      <x:c r="I7" s="16" t="str">
        <x:v>VC, cis-1,2-DCE, TCE; GW elevation; selected MNA indicators</x:v>
      </x:c>
      <x:c r="J7" s="16" t="str">
        <x:v>Yes</x:v>
      </x:c>
      <x:c r="K7" s="16" t="str">
        <x:v>Document 2025 VC exceedance and compare with prior declining/stable narrative.</x:v>
      </x:c>
      <x:c r="L7" s="16" t="str">
        <x:v>Well #25 requires trend confirmation because 2025 VC is above BCT-CSL.</x:v>
      </x:c>
      <x:c r="M7" s="16" t="str">
        <x:v>Continue annual VOC + MNA monitoring; verify whether 2025 result is persistent.</x:v>
      </x:c>
      <x:c r="N7" s="16" t="str">
        <x:v>Historical analytical data; 2025 validated results; groundwater elevation; MNA indicators</x:v>
      </x:c>
      <x:c r="O7" s="16" t="str">
        <x:v>Not started</x:v>
      </x:c>
      <x:c r="P7" s="16" t="str">
        <x:v>Not started</x:v>
      </x:c>
    </x:row>
    <x:row r="8" ht="54" customHeight="1">
      <x:c r="A8" s="16" t="str">
        <x:v>D-4</x:v>
      </x:c>
      <x:c r="B8" s="16" t="str">
        <x:v>A39L014DP</x:v>
      </x:c>
      <x:c r="C8" s="16" t="str">
        <x:v>North Apron</x:v>
      </x:c>
      <x:c r="D8" s="16" t="str">
        <x:v>Intermediate</x:v>
      </x:c>
      <x:c r="E8" s="16" t="str">
        <x:v>Performance / sentry or boundary-support location</x:v>
      </x:c>
      <x:c r="F8" s="16" t="str">
        <x:v>Annual VOC + MNA</x:v>
      </x:c>
      <x:c r="G8" s="16" t="str">
        <x:v>TCE = 6.2 µg/L</x:v>
      </x:c>
      <x:c r="H8" s="16" t="str">
        <x:v>VC at or below BCT-CSL; daughter-product context</x:v>
      </x:c>
      <x:c r="I8" s="16" t="str">
        <x:v>TCE, VC, cis-1,2-DCE, 1,1-DCE; GW elevation; MNA indicators</x:v>
      </x:c>
      <x:c r="J8" s="16" t="str">
        <x:v>Yes</x:v>
      </x:c>
      <x:c r="K8" s="16" t="str">
        <x:v>Document low-level TCE exceedance and role in North Apron boundary/performance evaluation.</x:v>
      </x:c>
      <x:c r="L8" s="16" t="str">
        <x:v>Low-level parent-compound exceedance; evaluate whether TCE behavior remains stable/controlled.</x:v>
      </x:c>
      <x:c r="M8" s="16" t="str">
        <x:v>Continue annual VOC + MNA monitoring until two consecutive compliant events.</x:v>
      </x:c>
      <x:c r="N8" s="16" t="str">
        <x:v>Historical analytical data; 2025 validated results; groundwater elevation; MNA indicators</x:v>
      </x:c>
      <x:c r="O8" s="16" t="str">
        <x:v>Not started</x:v>
      </x:c>
      <x:c r="P8" s="16" t="str">
        <x:v>Not started</x:v>
      </x:c>
    </x:row>
    <x:row r="9" ht="54" customHeight="1">
      <x:c r="A9" s="16" t="str">
        <x:v>D-5</x:v>
      </x:c>
      <x:c r="B9" s="16" t="str">
        <x:v>A39MW095</x:v>
      </x:c>
      <x:c r="C9" s="16" t="str">
        <x:v>North Apron</x:v>
      </x:c>
      <x:c r="D9" s="16" t="str">
        <x:v>Intermediate</x:v>
      </x:c>
      <x:c r="E9" s="16" t="str">
        <x:v>Performance / North Apron intermediate</x:v>
      </x:c>
      <x:c r="F9" s="16" t="str">
        <x:v>Annual VOC + MNA</x:v>
      </x:c>
      <x:c r="G9" s="16" t="str">
        <x:v>VC = 3.6 µg/L</x:v>
      </x:c>
      <x:c r="H9" s="16" t="str">
        <x:v>TCE/cis-DCE trend context</x:v>
      </x:c>
      <x:c r="I9" s="16" t="str">
        <x:v>VC, TCE, cis-1,2-DCE; GW elevation; MNA indicators</x:v>
      </x:c>
      <x:c r="J9" s="16" t="str">
        <x:v>Yes</x:v>
      </x:c>
      <x:c r="K9" s="16" t="str">
        <x:v>Document low-level VC exceedance in North Apron intermediate zone.</x:v>
      </x:c>
      <x:c r="L9" s="16" t="str">
        <x:v>Localized VC exceedance; assess with adjacent North Apron wells and MNA indicators.</x:v>
      </x:c>
      <x:c r="M9" s="16" t="str">
        <x:v>Continue annual VOC + MNA monitoring.</x:v>
      </x:c>
      <x:c r="N9" s="16" t="str">
        <x:v>Historical analytical data; 2025 validated results; groundwater elevation; MNA indicators</x:v>
      </x:c>
      <x:c r="O9" s="16" t="str">
        <x:v>Not started</x:v>
      </x:c>
      <x:c r="P9" s="16" t="str">
        <x:v>Not started</x:v>
      </x:c>
    </x:row>
    <x:row r="10" ht="54" customHeight="1">
      <x:c r="A10" s="16" t="str">
        <x:v>D-6</x:v>
      </x:c>
      <x:c r="B10" s="16" t="str">
        <x:v>SS45L001MW</x:v>
      </x:c>
      <x:c r="C10" s="16" t="str">
        <x:v>North Apron</x:v>
      </x:c>
      <x:c r="D10" s="16" t="str">
        <x:v>Intermediate</x:v>
      </x:c>
      <x:c r="E10" s="16" t="str">
        <x:v>Performance / North Apron intermediate</x:v>
      </x:c>
      <x:c r="F10" s="16" t="str">
        <x:v>Annual VOC + MNA</x:v>
      </x:c>
      <x:c r="G10" s="16" t="str">
        <x:v>VC = 3.5 µg/L</x:v>
      </x:c>
      <x:c r="H10" s="16" t="str">
        <x:v>Sample-ID/date-code reconciliation note; cis-DCE context</x:v>
      </x:c>
      <x:c r="I10" s="16" t="str">
        <x:v>VC, cis-1,2-DCE, TCE; GW elevation; MNA indicators</x:v>
      </x:c>
      <x:c r="J10" s="16" t="str">
        <x:v>Yes</x:v>
      </x:c>
      <x:c r="K10" s="16" t="str">
        <x:v>Document low-level VC exceedance and reconcile October duplicate/date issue in notes.</x:v>
      </x:c>
      <x:c r="L10" s="16" t="str">
        <x:v>Result supports continued North Apron monitoring; avoid over-elevating sample-ID documentation issue.</x:v>
      </x:c>
      <x:c r="M10" s="16" t="str">
        <x:v>Continue annual VOC + MNA monitoring; resolve sample-date notation in table notes.</x:v>
      </x:c>
      <x:c r="N10" s="16" t="str">
        <x:v>Historical analytical data; 2025 validated results; groundwater elevation; MNA indicators; DUVR note</x:v>
      </x:c>
      <x:c r="O10" s="16" t="str">
        <x:v>Not started</x:v>
      </x:c>
      <x:c r="P10" s="16" t="str">
        <x:v>Not started</x:v>
      </x:c>
    </x:row>
    <x:row r="11" ht="54" customHeight="1">
      <x:c r="A11" s="16" t="str">
        <x:v>D-7</x:v>
      </x:c>
      <x:c r="B11" s="16" t="str">
        <x:v>Well #11</x:v>
      </x:c>
      <x:c r="C11" s="16" t="str">
        <x:v>North Apron</x:v>
      </x:c>
      <x:c r="D11" s="16" t="str">
        <x:v>Intermediate</x:v>
      </x:c>
      <x:c r="E11" s="16" t="str">
        <x:v>Primary performance well</x:v>
      </x:c>
      <x:c r="F11" s="16" t="str">
        <x:v>Annual VOC + MNA</x:v>
      </x:c>
      <x:c r="G11" s="16" t="str">
        <x:v>VC = 83.6 µg/L</x:v>
      </x:c>
      <x:c r="H11" s="16" t="str">
        <x:v>TCE/cis-DCE and dechlorination sequence context</x:v>
      </x:c>
      <x:c r="I11" s="16" t="str">
        <x:v>VC, cis-1,2-DCE, TCE, 1,1-DCE; GW elevation; MNA indicators</x:v>
      </x:c>
      <x:c r="J11" s="16" t="str">
        <x:v>Yes</x:v>
      </x:c>
      <x:c r="K11" s="16" t="str">
        <x:v>Document one of the highest 2025 VC concentrations.</x:v>
      </x:c>
      <x:c r="L11" s="16" t="str">
        <x:v>Primary North Apron daughter-product persistence location; evaluate long-term and recent VC behavior.</x:v>
      </x:c>
      <x:c r="M11" s="16" t="str">
        <x:v>Continue annual VOC + MNA monitoring; trend confirmation priority.</x:v>
      </x:c>
      <x:c r="N11" s="16" t="str">
        <x:v>Historical analytical data; 2025 validated results; groundwater elevation; MNA indicators</x:v>
      </x:c>
      <x:c r="O11" s="16" t="str">
        <x:v>Not started</x:v>
      </x:c>
      <x:c r="P11" s="16" t="str">
        <x:v>Not started</x:v>
      </x:c>
    </x:row>
    <x:row r="12" ht="54" customHeight="1">
      <x:c r="A12" s="16" t="str">
        <x:v>D-8</x:v>
      </x:c>
      <x:c r="B12" s="16" t="str">
        <x:v>Well #13</x:v>
      </x:c>
      <x:c r="C12" s="16" t="str">
        <x:v>North Apron</x:v>
      </x:c>
      <x:c r="D12" s="16" t="str">
        <x:v>Intermediate</x:v>
      </x:c>
      <x:c r="E12" s="16" t="str">
        <x:v>Primary performance well</x:v>
      </x:c>
      <x:c r="F12" s="16" t="str">
        <x:v>Annual VOC + MNA</x:v>
      </x:c>
      <x:c r="G12" s="16" t="str">
        <x:v>VC = 88.9 µg/L</x:v>
      </x:c>
      <x:c r="H12" s="16" t="str">
        <x:v>cis-DCE and TCE context</x:v>
      </x:c>
      <x:c r="I12" s="16" t="str">
        <x:v>VC, cis-1,2-DCE, TCE; GW elevation; MNA indicators</x:v>
      </x:c>
      <x:c r="J12" s="16" t="str">
        <x:v>Yes</x:v>
      </x:c>
      <x:c r="K12" s="16" t="str">
        <x:v>Document highest confirmed 2025 VC result.</x:v>
      </x:c>
      <x:c r="L12" s="16" t="str">
        <x:v>Primary North Apron VC accumulation/persistence location; evaluate trend and MNA support.</x:v>
      </x:c>
      <x:c r="M12" s="16" t="str">
        <x:v>Continue annual VOC + MNA monitoring; trend confirmation priority.</x:v>
      </x:c>
      <x:c r="N12" s="16" t="str">
        <x:v>Historical analytical data; 2025 validated results; groundwater elevation; MNA indicators</x:v>
      </x:c>
      <x:c r="O12" s="16" t="str">
        <x:v>Not started</x:v>
      </x:c>
      <x:c r="P12" s="16" t="str">
        <x:v>Not started</x:v>
      </x:c>
    </x:row>
    <x:row r="13" ht="54" customHeight="1">
      <x:c r="A13" s="16" t="str">
        <x:v>D-9</x:v>
      </x:c>
      <x:c r="B13" s="16" t="str">
        <x:v>Well #15</x:v>
      </x:c>
      <x:c r="C13" s="16" t="str">
        <x:v>North Apron</x:v>
      </x:c>
      <x:c r="D13" s="16" t="str">
        <x:v>Intermediate</x:v>
      </x:c>
      <x:c r="E13" s="16" t="str">
        <x:v>Primary performance well</x:v>
      </x:c>
      <x:c r="F13" s="16" t="str">
        <x:v>Annual VOC + MNA</x:v>
      </x:c>
      <x:c r="G13" s="16" t="str">
        <x:v>1,1-DCE = 67.2 µg/L [71.0 duplicate]; TCE = 5.4 µg/L [5.5 duplicate]; VC = 35.0 µg/L [40.4 duplicate]</x:v>
      </x:c>
      <x:c r="H13" s="16" t="str">
        <x:v>cis-DCE below BCT-CSL but relevant for dechlorination sequence</x:v>
      </x:c>
      <x:c r="I13" s="16" t="str">
        <x:v>1,1-DCE, VC, TCE, cis-1,2-DCE; GW elevation; MNA indicators</x:v>
      </x:c>
      <x:c r="J13" s="16" t="str">
        <x:v>Yes</x:v>
      </x:c>
      <x:c r="K13" s="16" t="str">
        <x:v>Document multi-COC exceedance and correct DCE/cis-DCE labeling vulnerability.</x:v>
      </x:c>
      <x:c r="L13" s="16" t="str">
        <x:v>This plate should clearly distinguish 1,1-DCE from cis-1,2-DCE and show duplicate results.</x:v>
      </x:c>
      <x:c r="M13" s="16" t="str">
        <x:v>Continue annual VOC + MNA monitoring; preserve duplicate/result notes.</x:v>
      </x:c>
      <x:c r="N13" s="16" t="str">
        <x:v>Historical analytical data; 2025 validated results; duplicate result; groundwater elevation; MNA indicators</x:v>
      </x:c>
      <x:c r="O13" s="16" t="str">
        <x:v>Not started</x:v>
      </x:c>
      <x:c r="P13" s="16" t="str">
        <x:v>Not started</x:v>
      </x:c>
    </x:row>
    <x:row r="14" ht="54" customHeight="1">
      <x:c r="A14" s="16" t="str">
        <x:v>D-10</x:v>
      </x:c>
      <x:c r="B14" s="16" t="str">
        <x:v>Well #17</x:v>
      </x:c>
      <x:c r="C14" s="16" t="str">
        <x:v>North Apron</x:v>
      </x:c>
      <x:c r="D14" s="16" t="str">
        <x:v>Intermediate</x:v>
      </x:c>
      <x:c r="E14" s="16" t="str">
        <x:v>Performance well / historical pilot-area focus</x:v>
      </x:c>
      <x:c r="F14" s="16" t="str">
        <x:v>Annual VOC + MNA</x:v>
      </x:c>
      <x:c r="G14" s="16" t="str">
        <x:v>VC = 12.8 µg/L</x:v>
      </x:c>
      <x:c r="H14" s="16" t="str">
        <x:v>TCE/cis-DCE context; historical bioremediation/pilot-study context if needed</x:v>
      </x:c>
      <x:c r="I14" s="16" t="str">
        <x:v>VC, cis-1,2-DCE, TCE; GW elevation; MNA indicators</x:v>
      </x:c>
      <x:c r="J14" s="16" t="str">
        <x:v>Yes</x:v>
      </x:c>
      <x:c r="K14" s="16" t="str">
        <x:v>Document persistent VC exceedance at a historically important well.</x:v>
      </x:c>
      <x:c r="L14" s="16" t="str">
        <x:v>VC remains above BCT-CSL; plate should show historical treatment/attenuation context without over-discussing pilot study.</x:v>
      </x:c>
      <x:c r="M14" s="16" t="str">
        <x:v>Continue annual VOC + MNA monitoring.</x:v>
      </x:c>
      <x:c r="N14" s="16" t="str">
        <x:v>Historical analytical data; 2025 validated results; groundwater elevation; MNA indicators; optional pilot-study reference</x:v>
      </x:c>
      <x:c r="O14" s="16" t="str">
        <x:v>Not started</x:v>
      </x:c>
      <x:c r="P14" s="16" t="str">
        <x:v>Not started</x:v>
      </x:c>
    </x:row>
    <x:row r="15" ht="54" customHeight="1">
      <x:c r="A15" s="16" t="str">
        <x:v>D-11</x:v>
      </x:c>
      <x:c r="B15" s="16" t="str">
        <x:v>A39L028DP</x:v>
      </x:c>
      <x:c r="C15" s="16" t="str">
        <x:v>North Apron</x:v>
      </x:c>
      <x:c r="D15" s="16" t="str">
        <x:v>Deep</x:v>
      </x:c>
      <x:c r="E15" s="16" t="str">
        <x:v>Deep-zone performance well</x:v>
      </x:c>
      <x:c r="F15" s="16" t="str">
        <x:v>Annual VOC + MNA</x:v>
      </x:c>
      <x:c r="G15" s="16" t="str">
        <x:v>VC = 7.3 µg/L</x:v>
      </x:c>
      <x:c r="H15" s="16" t="str">
        <x:v>cis-DCE/TCE context</x:v>
      </x:c>
      <x:c r="I15" s="16" t="str">
        <x:v>VC, cis-1,2-DCE, TCE; GW elevation; MNA indicators</x:v>
      </x:c>
      <x:c r="J15" s="16" t="str">
        <x:v>Yes</x:v>
      </x:c>
      <x:c r="K15" s="16" t="str">
        <x:v>Document deep-zone VC exceedance.</x:v>
      </x:c>
      <x:c r="L15" s="16" t="str">
        <x:v>Deep-zone daughter-product persistence; compare to adjacent deep wells.</x:v>
      </x:c>
      <x:c r="M15" s="16" t="str">
        <x:v>Continue annual VOC + MNA monitoring.</x:v>
      </x:c>
      <x:c r="N15" s="16" t="str">
        <x:v>Deep historical analytical data; 2025 validated results; groundwater elevation; MNA indicators</x:v>
      </x:c>
      <x:c r="O15" s="16" t="str">
        <x:v>Not started</x:v>
      </x:c>
      <x:c r="P15" s="16" t="str">
        <x:v>Not started</x:v>
      </x:c>
    </x:row>
    <x:row r="16" ht="54" customHeight="1">
      <x:c r="A16" s="16" t="str">
        <x:v>D-12</x:v>
      </x:c>
      <x:c r="B16" s="16" t="str">
        <x:v>A39MW094</x:v>
      </x:c>
      <x:c r="C16" s="16" t="str">
        <x:v>North Apron</x:v>
      </x:c>
      <x:c r="D16" s="16" t="str">
        <x:v>Deep</x:v>
      </x:c>
      <x:c r="E16" s="16" t="str">
        <x:v>Primary deep-zone performance well</x:v>
      </x:c>
      <x:c r="F16" s="16" t="str">
        <x:v>Annual VOC + MNA</x:v>
      </x:c>
      <x:c r="G16" s="16" t="str">
        <x:v>cis-1,2-DCE = 99.3 µg/L; VC = 12.5 µg/L</x:v>
      </x:c>
      <x:c r="H16" s="16" t="str">
        <x:v>TCE/1,1-DCE context</x:v>
      </x:c>
      <x:c r="I16" s="16" t="str">
        <x:v>cis-1,2-DCE, VC, TCE; GW elevation; MNA indicators</x:v>
      </x:c>
      <x:c r="J16" s="16" t="str">
        <x:v>Yes</x:v>
      </x:c>
      <x:c r="K16" s="16" t="str">
        <x:v>Document principal deep-zone exceedance location.</x:v>
      </x:c>
      <x:c r="L16" s="16" t="str">
        <x:v>Primary deep-zone daughter-product persistence/incomplete attenuation location; avoid unsupported back-diffusion statement.</x:v>
      </x:c>
      <x:c r="M16" s="16" t="str">
        <x:v>Continue annual VOC + MNA monitoring; priority trend plate.</x:v>
      </x:c>
      <x:c r="N16" s="16" t="str">
        <x:v>Deep historical analytical data; 2025 validated results; groundwater elevation; MNA indicators</x:v>
      </x:c>
      <x:c r="O16" s="16" t="str">
        <x:v>Not started</x:v>
      </x:c>
      <x:c r="P16" s="16" t="str">
        <x:v>Not started</x:v>
      </x:c>
    </x:row>
    <x:row r="17" ht="54" customHeight="1">
      <x:c r="A17" s="16" t="str">
        <x:v>D-13</x:v>
      </x:c>
      <x:c r="B17" s="16" t="str">
        <x:v>SS45L002MW</x:v>
      </x:c>
      <x:c r="C17" s="16" t="str">
        <x:v>North Apron</x:v>
      </x:c>
      <x:c r="D17" s="16" t="str">
        <x:v>Deep</x:v>
      </x:c>
      <x:c r="E17" s="16" t="str">
        <x:v>Deep-zone performance well</x:v>
      </x:c>
      <x:c r="F17" s="16" t="str">
        <x:v>Annual VOC + MNA</x:v>
      </x:c>
      <x:c r="G17" s="16" t="str">
        <x:v>VC = 3.7 µg/L</x:v>
      </x:c>
      <x:c r="H17" s="16" t="str">
        <x:v>cis-DCE and TCE context</x:v>
      </x:c>
      <x:c r="I17" s="16" t="str">
        <x:v>VC, cis-1,2-DCE, TCE; GW elevation; MNA indicators</x:v>
      </x:c>
      <x:c r="J17" s="16" t="str">
        <x:v>Yes</x:v>
      </x:c>
      <x:c r="K17" s="16" t="str">
        <x:v>Document deep-zone VC exceedance and trend behavior.</x:v>
      </x:c>
      <x:c r="L17" s="16" t="str">
        <x:v>Lower-level deep VC exceedance; use plate to show whether decline continues.</x:v>
      </x:c>
      <x:c r="M17" s="16" t="str">
        <x:v>Continue annual VOC + MNA monitoring.</x:v>
      </x:c>
      <x:c r="N17" s="16" t="str">
        <x:v>Deep historical analytical data; 2025 validated results; groundwater elevation; MNA indicators</x:v>
      </x:c>
      <x:c r="O17" s="16" t="str">
        <x:v>Not started</x:v>
      </x:c>
      <x:c r="P17" s="16" t="str">
        <x:v>Not started</x:v>
      </x:c>
    </x:row>
    <x:row r="18" ht="54" customHeight="1">
      <x:c r="A18" s="16" t="str">
        <x:v>D-14</x:v>
      </x:c>
      <x:c r="B18" s="16" t="str">
        <x:v>Well #12</x:v>
      </x:c>
      <x:c r="C18" s="16" t="str">
        <x:v>North Apron</x:v>
      </x:c>
      <x:c r="D18" s="16" t="str">
        <x:v>Deep</x:v>
      </x:c>
      <x:c r="E18" s="16" t="str">
        <x:v>Deep-zone performance well</x:v>
      </x:c>
      <x:c r="F18" s="16" t="str">
        <x:v>Annual VOC + MNA</x:v>
      </x:c>
      <x:c r="G18" s="16" t="str">
        <x:v>VC = 8.0 µg/L</x:v>
      </x:c>
      <x:c r="H18" s="16" t="str">
        <x:v>cis-DCE/TCE context</x:v>
      </x:c>
      <x:c r="I18" s="16" t="str">
        <x:v>VC, cis-1,2-DCE, TCE; GW elevation; MNA indicators</x:v>
      </x:c>
      <x:c r="J18" s="16" t="str">
        <x:v>Yes</x:v>
      </x:c>
      <x:c r="K18" s="16" t="str">
        <x:v>Document persistent deep-zone VC exceedance.</x:v>
      </x:c>
      <x:c r="L18" s="16" t="str">
        <x:v>Deep VC exceedance; evaluate with historical trend and adjacent wells.</x:v>
      </x:c>
      <x:c r="M18" s="16" t="str">
        <x:v>Continue annual VOC + MNA monitoring.</x:v>
      </x:c>
      <x:c r="N18" s="16" t="str">
        <x:v>Deep historical analytical data; 2025 validated results; groundwater elevation; MNA indicators</x:v>
      </x:c>
      <x:c r="O18" s="16" t="str">
        <x:v>Not started</x:v>
      </x:c>
      <x:c r="P18" s="16" t="str">
        <x:v>Not started</x:v>
      </x:c>
    </x:row>
    <x:row r="19" ht="54" customHeight="1">
      <x:c r="A19" s="16" t="str">
        <x:v>D-15</x:v>
      </x:c>
      <x:c r="B19" s="16" t="str">
        <x:v>Well #14</x:v>
      </x:c>
      <x:c r="C19" s="16" t="str">
        <x:v>North Apron</x:v>
      </x:c>
      <x:c r="D19" s="16" t="str">
        <x:v>Deep</x:v>
      </x:c>
      <x:c r="E19" s="16" t="str">
        <x:v>Deep-zone performance / low-level VC location</x:v>
      </x:c>
      <x:c r="F19" s="16" t="str">
        <x:v>Annual VOC + MNA</x:v>
      </x:c>
      <x:c r="G19" s="16" t="str">
        <x:v>VC = 3.5 µg/L</x:v>
      </x:c>
      <x:c r="H19" s="16" t="str">
        <x:v>TCE/cis-DCE context</x:v>
      </x:c>
      <x:c r="I19" s="16" t="str">
        <x:v>VC, cis-1,2-DCE, TCE; GW elevation; MNA indicators if available</x:v>
      </x:c>
      <x:c r="J19" s="16" t="str">
        <x:v>Yes</x:v>
      </x:c>
      <x:c r="K19" s="16" t="str">
        <x:v>Document low-level deep-zone VC exceedance without over-elevating it.</x:v>
      </x:c>
      <x:c r="L19" s="16" t="str">
        <x:v>Low-level VC exceedance; include concise interpretation and avoid making it a major issue.</x:v>
      </x:c>
      <x:c r="M19" s="16" t="str">
        <x:v>Continue monitoring consistent with annual network; evaluate if MNA parameters are required by final strategy.</x:v>
      </x:c>
      <x:c r="N19" s="16" t="str">
        <x:v>Deep historical analytical data; 2025 validated results; groundwater elevation; MNA indicators if collected</x:v>
      </x:c>
      <x:c r="O19" s="16" t="str">
        <x:v>Not started</x:v>
      </x:c>
      <x:c r="P19" s="16" t="str">
        <x:v>Not started</x:v>
      </x:c>
    </x:row>
    <x:row r="20" ht="54" customHeight="1">
      <x:c r="A20" s="16" t="str">
        <x:v>D-16</x:v>
      </x:c>
      <x:c r="B20" s="16" t="str">
        <x:v>A39L036DPR2</x:v>
      </x:c>
      <x:c r="C20" s="16" t="str">
        <x:v>Tower</x:v>
      </x:c>
      <x:c r="D20" s="16" t="str">
        <x:v>Intermediate</x:v>
      </x:c>
      <x:c r="E20" s="16" t="str">
        <x:v>Performance / Tower site area</x:v>
      </x:c>
      <x:c r="F20" s="16" t="str">
        <x:v>Annual VOC + MNA</x:v>
      </x:c>
      <x:c r="G20" s="16" t="str">
        <x:v>TCE = 42.0 µg/L</x:v>
      </x:c>
      <x:c r="H20" s="16" t="str">
        <x:v>DCE/VC context; 2025 current-year change</x:v>
      </x:c>
      <x:c r="I20" s="16" t="str">
        <x:v>TCE, cis-1,2-DCE, VC; GW elevation; MNA indicators</x:v>
      </x:c>
      <x:c r="J20" s="16" t="str">
        <x:v>Yes</x:v>
      </x:c>
      <x:c r="K20" s="16" t="str">
        <x:v>Document the 2025 Tower TCE exceedance and evaluate trend confirmation needs.</x:v>
      </x:c>
      <x:c r="L20" s="16" t="str">
        <x:v>Current-year TCE exceedance requires trend confirmation; do not overstate as remedy failure or plume expansion without supporting data.</x:v>
      </x:c>
      <x:c r="M20" s="16" t="str">
        <x:v>Continue annual VOC + MNA monitoring; verify 2026 trend.</x:v>
      </x:c>
      <x:c r="N20" s="16" t="str">
        <x:v>Historical analytical data; 2025 validated results; groundwater elevation; MNA indicators</x:v>
      </x:c>
      <x:c r="O20" s="16" t="str">
        <x:v>Not started</x:v>
      </x:c>
      <x:c r="P20" s="16" t="str">
        <x:v>Not started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35" hidden="0" customWidth="1"/>
    <x:col min="5" max="5" width="28" hidden="0" customWidth="1"/>
    <x:col min="6" max="6" width="42" hidden="0" customWidth="1"/>
    <x:col min="7" max="7" width="16" hidden="0" customWidth="1"/>
  </x:cols>
  <x:sheetData>
    <x:row r="1" ht="28" customHeight="1">
      <x:c r="A1" s="18" t="str">
        <x:v>11x17 Trend Plate Template Specification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Use this sheet to keep all plates consistent before Appendix D assembly</x:v>
      </x:c>
    </x:row>
    <x:row r="4">
      <x:c r="A4" s="14" t="str">
        <x:v>Plate Area</x:v>
      </x:c>
      <x:c r="B4" s="14" t="str">
        <x:v>Content</x:v>
      </x:c>
      <x:c r="C4" s="14" t="str">
        <x:v>Required Elements</x:v>
      </x:c>
      <x:c r="D4" s="14" t="str">
        <x:v>Design Requirement</x:v>
      </x:c>
      <x:c r="E4" s="14" t="str">
        <x:v>Common Source</x:v>
      </x:c>
      <x:c r="F4" s="14" t="str">
        <x:v>Notes / Cautions</x:v>
      </x:c>
      <x:c r="G4" s="14" t="str">
        <x:v>Status</x:v>
      </x:c>
    </x:row>
    <x:row r="5" ht="48" customHeight="1">
      <x:c r="A5" s="16" t="str">
        <x:v>Header band</x:v>
      </x:c>
      <x:c r="B5" s="16" t="str">
        <x:v>Well identity and recommendation</x:v>
      </x:c>
      <x:c r="C5" s="16" t="str">
        <x:v>Plate number; well ID; site area; zone; well role; 2025 monitoring category; current 2026 action</x:v>
      </x:c>
      <x:c r="D5" s="16" t="str">
        <x:v>Always top of 11x17 landscape plate; avoid clutter</x:v>
      </x:c>
      <x:c r="E5" s="16" t="str">
        <x:v>Plate_Register; Table 5-1</x:v>
      </x:c>
      <x:c r="F5" s="16" t="str">
        <x:v>Use SS045 in title/caption after aliases are defined in report.</x:v>
      </x:c>
      <x:c r="G5" s="16" t="str">
        <x:v>Required</x:v>
      </x:c>
    </x:row>
    <x:row r="6" ht="48" customHeight="1">
      <x:c r="A6" s="16" t="str">
        <x:v>Main left panel</x:v>
      </x:c>
      <x:c r="B6" s="16" t="str">
        <x:v>COC trend plot</x:v>
      </x:c>
      <x:c r="C6" s="16" t="str">
        <x:v>Historical concentrations for relevant COCs; 2025 result label; BCT-CSL reference lines; nondetect symbols; data qualifiers where interpretive</x:v>
      </x:c>
      <x:c r="D6" s="16" t="str">
        <x:v>Use log-scale y-axis for VOCs; do not plot irrelevant analytes if they do not support interpretation</x:v>
      </x:c>
      <x:c r="E6" s="16" t="str">
        <x:v>Appendix D historical workbook; Table 3-1; analytical package</x:v>
      </x:c>
      <x:c r="F6" s="16" t="str">
        <x:v>For Well #15, clearly distinguish 1,1-DCE from cis-1,2-DCE.</x:v>
      </x:c>
      <x:c r="G6" s="16" t="str">
        <x:v>Required</x:v>
      </x:c>
    </x:row>
    <x:row r="7" ht="48" customHeight="1">
      <x:c r="A7" s="16" t="str">
        <x:v>Main right panel</x:v>
      </x:c>
      <x:c r="B7" s="16" t="str">
        <x:v>Hydraulic / precipitation context</x:v>
      </x:c>
      <x:c r="C7" s="16" t="str">
        <x:v>Groundwater elevation trend and/or precipitation context</x:v>
      </x:c>
      <x:c r="D7" s="16" t="str">
        <x:v>Keep secondary to VOC plot; do not let precipitation dominate plate</x:v>
      </x:c>
      <x:c r="E7" s="16" t="str">
        <x:v>Water-level table; precipitation workbook</x:v>
      </x:c>
      <x:c r="F7" s="16" t="str">
        <x:v>Use only if it helps explain concentration behavior.</x:v>
      </x:c>
      <x:c r="G7" s="16" t="str">
        <x:v>Recommended</x:v>
      </x:c>
    </x:row>
    <x:row r="8" ht="48" customHeight="1">
      <x:c r="A8" s="16" t="str">
        <x:v>MNA support panel</x:v>
      </x:c>
      <x:c r="B8" s="16" t="str">
        <x:v>Geochemical / attenuation indicators</x:v>
      </x:c>
      <x:c r="C8" s="16" t="str">
        <x:v>DO, ORP, methane, ethene/ethane, TOC, anions as applicable</x:v>
      </x:c>
      <x:c r="D8" s="16" t="str">
        <x:v>Summarize only relevant indicators; avoid a second full analytical table</x:v>
      </x:c>
      <x:c r="E8" s="16" t="str">
        <x:v>Table 3-3; field parameters; DUVR/analytical package</x:v>
      </x:c>
      <x:c r="F8" s="16" t="str">
        <x:v>Do not treat methane as an electron donor; interpret as reducing-condition indicator.</x:v>
      </x:c>
      <x:c r="G8" s="16" t="str">
        <x:v>Recommended</x:v>
      </x:c>
    </x:row>
    <x:row r="9" ht="48" customHeight="1">
      <x:c r="A9" s="16" t="str">
        <x:v>Bottom table</x:v>
      </x:c>
      <x:c r="B9" s="16" t="str">
        <x:v>Recent event summary</x:v>
      </x:c>
      <x:c r="C9" s="16" t="str">
        <x:v>Last three events; 2025 exceedance status; long-term trend; recent direction; qualifier note</x:v>
      </x:c>
      <x:c r="D9" s="16" t="str">
        <x:v>Compact; consistent across plates</x:v>
      </x:c>
      <x:c r="E9" s="16" t="str">
        <x:v>Historical workbook; Table 4-1; DUVR</x:v>
      </x:c>
      <x:c r="F9" s="16" t="str">
        <x:v>Trend language is qualitative until final statistical plates are locked.</x:v>
      </x:c>
      <x:c r="G9" s="16" t="str">
        <x:v>Required</x:v>
      </x:c>
    </x:row>
    <x:row r="10" ht="48" customHeight="1">
      <x:c r="A10" s="16" t="str">
        <x:v>Interpretation box</x:v>
      </x:c>
      <x:c r="B10" s="16" t="str">
        <x:v>Scientific interpretation and action</x:v>
      </x:c>
      <x:c r="C10" s="16" t="str">
        <x:v>One concise statement; 2026 action</x:v>
      </x:c>
      <x:c r="D10" s="16" t="str">
        <x:v>Use plain scientific language; avoid overstatement</x:v>
      </x:c>
      <x:c r="E10" s="16" t="str">
        <x:v>Table 4-1; Table 5-1</x:v>
      </x:c>
      <x:c r="F10" s="16" t="str">
        <x:v>Avoid unsupported back-diffusion language.</x:v>
      </x:c>
      <x:c r="G10" s="16" t="str">
        <x:v>Required</x:v>
      </x:c>
    </x:row>
    <x:row r="11" ht="48" customHeight="1">
      <x:c r="A11" s="16" t="str">
        <x:v>Footer</x:v>
      </x:c>
      <x:c r="B11" s="16" t="str">
        <x:v>Standalone notes</x:v>
      </x:c>
      <x:c r="C11" s="16" t="str">
        <x:v>Page number; units; acronym definitions; sources; nondetect convention</x:v>
      </x:c>
      <x:c r="D11" s="16" t="str">
        <x:v>Each plate must stand alone outside report text</x:v>
      </x:c>
      <x:c r="E11" s="16" t="str">
        <x:v>Client rules; Appendix D cover memo</x:v>
      </x:c>
      <x:c r="F11" s="16" t="str">
        <x:v>Include BCT-CSL, COC, DCE, MNA, VC if used on plate.</x:v>
      </x:c>
      <x:c r="G11" s="16" t="str">
        <x:v>Required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4" hidden="0" customWidth="1"/>
    <x:col min="4" max="4" width="38" hidden="0" customWidth="1"/>
    <x:col min="5" max="5" width="30" hidden="0" customWidth="1"/>
    <x:col min="6" max="6" width="34" hidden="0" customWidth="1"/>
    <x:col min="7" max="7" width="40" hidden="0" customWidth="1"/>
  </x:cols>
  <x:sheetData>
    <x:row r="1" ht="28" customHeight="1">
      <x:c r="A1" s="18" t="str">
        <x:v>Plotting Conventions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Required conventions for Appendix D trend plates and supporting historical-data plots</x:v>
      </x:c>
    </x:row>
    <x:row r="4">
      <x:c r="A4" s="14" t="str">
        <x:v>Topic</x:v>
      </x:c>
      <x:c r="B4" s="14" t="str">
        <x:v>Convention</x:v>
      </x:c>
      <x:c r="C4" s="14" t="str">
        <x:v>Required?</x:v>
      </x:c>
      <x:c r="D4" s="14" t="str">
        <x:v>Rationale</x:v>
      </x:c>
      <x:c r="E4" s="14" t="str">
        <x:v>Applies To</x:v>
      </x:c>
      <x:c r="F4" s="14" t="str">
        <x:v>QA/QC Check</x:v>
      </x:c>
      <x:c r="G4" s="14" t="str">
        <x:v>Notes</x:v>
      </x:c>
    </x:row>
    <x:row r="5" ht="50" customHeight="1">
      <x:c r="A5" s="16" t="str">
        <x:v>Y-axis scale</x:v>
      </x:c>
      <x:c r="B5" s="16" t="str">
        <x:v>Use log-scale concentration axis for VOC trends where concentrations span more than one order of magnitude.</x:v>
      </x:c>
      <x:c r="C5" s="16" t="str">
        <x:v>Yes</x:v>
      </x:c>
      <x:c r="D5" s="16" t="str">
        <x:v>Improves comparability and prevents high values from obscuring low-level trends.</x:v>
      </x:c>
      <x:c r="E5" s="16" t="str">
        <x:v>COC trend plots</x:v>
      </x:c>
      <x:c r="F5" s="16" t="str">
        <x:v>Axis labeled clearly; BCT-CSLs visible.</x:v>
      </x:c>
      <x:c r="G5" s="16" t="str">
        <x:v>Use linear scale only if log scale would mislead.</x:v>
      </x:c>
    </x:row>
    <x:row r="6" ht="50" customHeight="1">
      <x:c r="A6" s="16" t="str">
        <x:v>BCT-CSL lines</x:v>
      </x:c>
      <x:c r="B6" s="16" t="str">
        <x:v>Show BCT-CSL reference line for each plotted COC that has a BCT-CSL.</x:v>
      </x:c>
      <x:c r="C6" s="16" t="str">
        <x:v>Yes</x:v>
      </x:c>
      <x:c r="D6" s="16" t="str">
        <x:v>Allows immediate evaluation of exceedance status.</x:v>
      </x:c>
      <x:c r="E6" s="16" t="str">
        <x:v>COC trend plots</x:v>
      </x:c>
      <x:c r="F6" s="16" t="str">
        <x:v>Line value equals Table 2-1.</x:v>
      </x:c>
      <x:c r="G6" s="16" t="str">
        <x:v>Use labels; avoid too many overlapping lines.</x:v>
      </x:c>
    </x:row>
    <x:row r="7" ht="50" customHeight="1">
      <x:c r="A7" s="16" t="str">
        <x:v>Nondetects</x:v>
      </x:c>
      <x:c r="B7" s="16" t="str">
        <x:v>Use open symbols for nondetects and plot at the reported detection/quantitation limit or another clearly stated convention.</x:v>
      </x:c>
      <x:c r="C7" s="16" t="str">
        <x:v>Yes</x:v>
      </x:c>
      <x:c r="D7" s="16" t="str">
        <x:v>Preserves reported value and avoids implying zero concentration.</x:v>
      </x:c>
      <x:c r="E7" s="16" t="str">
        <x:v>COC trend plots</x:v>
      </x:c>
      <x:c r="F7" s="16" t="str">
        <x:v>Footer states nondetect plotting convention.</x:v>
      </x:c>
      <x:c r="G7" s="16" t="str">
        <x:v>Do not connect nondetects in a way that implies measured concentration trends.</x:v>
      </x:c>
    </x:row>
    <x:row r="8" ht="50" customHeight="1">
      <x:c r="A8" s="16" t="str">
        <x:v>Qualified data</x:v>
      </x:c>
      <x:c r="B8" s="16" t="str">
        <x:v>Show or footnote J, U, UJ, and other qualifiers when they affect interpretation.</x:v>
      </x:c>
      <x:c r="C8" s="16" t="str">
        <x:v>Yes</x:v>
      </x:c>
      <x:c r="D8" s="16" t="str">
        <x:v>Maintains data-usability transparency.</x:v>
      </x:c>
      <x:c r="E8" s="16" t="str">
        <x:v>All plots/tables</x:v>
      </x:c>
      <x:c r="F8" s="16" t="str">
        <x:v>Qualifier note matches Table 3-2 and Appendix C.</x:v>
      </x:c>
      <x:c r="G8" s="16" t="str">
        <x:v>A39L092DP UJ/J issues are not a priority plate unless a plate is added.</x:v>
      </x:c>
    </x:row>
    <x:row r="9" ht="50" customHeight="1">
      <x:c r="A9" s="16" t="str">
        <x:v>Duplicate results</x:v>
      </x:c>
      <x:c r="B9" s="16" t="str">
        <x:v>Show parent result and duplicate where the duplicate materially supports/changes interpretation; otherwise footnote duplicate agreement.</x:v>
      </x:c>
      <x:c r="C9" s="16" t="str">
        <x:v>As needed</x:v>
      </x:c>
      <x:c r="D9" s="16" t="str">
        <x:v>Avoids clutter while preserving defensibility.</x:v>
      </x:c>
      <x:c r="E9" s="16" t="str">
        <x:v>Well #15; BH01MW02; A39L014DP as applicable</x:v>
      </x:c>
      <x:c r="F9" s="16" t="str">
        <x:v>Duplicate result included or noted.</x:v>
      </x:c>
      <x:c r="G9" s="16" t="str">
        <x:v>Well #15 duplicate values should be explicit because multiple COCs exceed.</x:v>
      </x:c>
    </x:row>
    <x:row r="10" ht="50" customHeight="1">
      <x:c r="A10" s="16" t="str">
        <x:v>At-BCT-CSL results</x:v>
      </x:c>
      <x:c r="B10" s="16" t="str">
        <x:v>Label as 'at BCT-CSL' when result equals the screening level; do not list as an exceedance unless project convention changes.</x:v>
      </x:c>
      <x:c r="C10" s="16" t="str">
        <x:v>Yes</x:v>
      </x:c>
      <x:c r="D10" s="16" t="str">
        <x:v>Avoids overcounting exceedances.</x:v>
      </x:c>
      <x:c r="E10" s="16" t="str">
        <x:v>BH01MW03 VC = 2.0 µg/L if plotted</x:v>
      </x:c>
      <x:c r="F10" s="16" t="str">
        <x:v>Exceedance labels use &gt; BCT-CSL criterion.</x:v>
      </x:c>
      <x:c r="G10" s="16" t="str">
        <x:v>May appear in optional watch list.</x:v>
      </x:c>
    </x:row>
    <x:row r="11" ht="50" customHeight="1">
      <x:c r="A11" s="16" t="str">
        <x:v>Time axis</x:v>
      </x:c>
      <x:c r="B11" s="16" t="str">
        <x:v>Use sample year/date labels that are readable at 11x17 landscape size.</x:v>
      </x:c>
      <x:c r="C11" s="16" t="str">
        <x:v>Yes</x:v>
      </x:c>
      <x:c r="D11" s="16" t="str">
        <x:v>Supports fast interpretation.</x:v>
      </x:c>
      <x:c r="E11" s="16" t="str">
        <x:v>All trend plots</x:v>
      </x:c>
      <x:c r="F11" s="16" t="str">
        <x:v>No crowded or overlapping labels.</x:v>
      </x:c>
      <x:c r="G11" s="16" t="str">
        <x:v>Use annual ticks where historical series is long.</x:v>
      </x:c>
    </x:row>
    <x:row r="12" ht="50" customHeight="1">
      <x:c r="A12" s="16" t="str">
        <x:v>Series selection</x:v>
      </x:c>
      <x:c r="B12" s="16" t="str">
        <x:v>Plot only COCs relevant to the well-specific story.</x:v>
      </x:c>
      <x:c r="C12" s="16" t="str">
        <x:v>Yes</x:v>
      </x:c>
      <x:c r="D12" s="16" t="str">
        <x:v>Reduces visual clutter and improves impact.</x:v>
      </x:c>
      <x:c r="E12" s="16" t="str">
        <x:v>All plates</x:v>
      </x:c>
      <x:c r="F12" s="16" t="str">
        <x:v>Plotted series matches Plate_Register column I.</x:v>
      </x:c>
      <x:c r="G12" s="16" t="str">
        <x:v>Avoid every analyte on every plate.</x:v>
      </x:c>
    </x:row>
    <x:row r="13" ht="50" customHeight="1">
      <x:c r="A13" s="16" t="str">
        <x:v>Hydraulic context</x:v>
      </x:c>
      <x:c r="B13" s="16" t="str">
        <x:v>Include groundwater elevation and/or precipitation only where it supports interpretation.</x:v>
      </x:c>
      <x:c r="C13" s="16" t="str">
        <x:v>Recommended</x:v>
      </x:c>
      <x:c r="D13" s="16" t="str">
        <x:v>Prevents the plate from becoming a precipitation report.</x:v>
      </x:c>
      <x:c r="E13" s="16" t="str">
        <x:v>Right-side panel</x:v>
      </x:c>
      <x:c r="F13" s="16" t="str">
        <x:v>Context panel does not dominate VOC panel.</x:v>
      </x:c>
      <x:c r="G13" s="16" t="str">
        <x:v>Keep precipitation secondary.</x:v>
      </x:c>
    </x:row>
    <x:row r="14" ht="50" customHeight="1">
      <x:c r="A14" s="16" t="str">
        <x:v>Interpretation text</x:v>
      </x:c>
      <x:c r="B14" s="16" t="str">
        <x:v>Use one concise interpretation and one 2026 action per plate.</x:v>
      </x:c>
      <x:c r="C14" s="16" t="str">
        <x:v>Yes</x:v>
      </x:c>
      <x:c r="D14" s="16" t="str">
        <x:v>Turns plot into decision support.</x:v>
      </x:c>
      <x:c r="E14" s="16" t="str">
        <x:v>All plates</x:v>
      </x:c>
      <x:c r="F14" s="16" t="str">
        <x:v>Interpretation aligns with Table 4-1 and Table 5-1.</x:v>
      </x:c>
      <x:c r="G14" s="16" t="str">
        <x:v>Avoid saying remedy failure unless data support it.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2" hidden="0" customWidth="1"/>
    <x:col min="4" max="4" width="34" hidden="0" customWidth="1"/>
    <x:col min="5" max="5" width="22" hidden="0" customWidth="1"/>
    <x:col min="6" max="6" width="18" hidden="0" customWidth="1"/>
    <x:col min="7" max="7" width="18" hidden="0" customWidth="1"/>
    <x:col min="8" max="8" width="44" hidden="0" customWidth="1"/>
  </x:cols>
  <x:sheetData>
    <x:row r="1" ht="28" customHeight="1">
      <x:c r="A1" s="18" t="str">
        <x:v>Trend Plate Data Inputs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Input files needed before generating Appendix D plates</x:v>
      </x:c>
    </x:row>
    <x:row r="4">
      <x:c r="A4" s="14" t="str">
        <x:v>Input Category</x:v>
      </x:c>
      <x:c r="B4" s="14" t="str">
        <x:v>Required File / Dataset</x:v>
      </x:c>
      <x:c r="C4" s="14" t="str">
        <x:v>Current Expected Location</x:v>
      </x:c>
      <x:c r="D4" s="14" t="str">
        <x:v>Purpose</x:v>
      </x:c>
      <x:c r="E4" s="14" t="str">
        <x:v>Needed Before</x:v>
      </x:c>
      <x:c r="F4" s="14" t="str">
        <x:v>Status</x:v>
      </x:c>
      <x:c r="G4" s="14" t="str">
        <x:v>Owner</x:v>
      </x:c>
      <x:c r="H4" s="14" t="str">
        <x:v>Notes</x:v>
      </x:c>
    </x:row>
    <x:row r="5" ht="50" customHeight="1">
      <x:c r="A5" s="16" t="str">
        <x:v>Validated 2025 analytical results</x:v>
      </x:c>
      <x:c r="B5" s="16" t="str">
        <x:v>Final Table 3-1 / Table 6-2 equivalent plus Appendix B lab results</x:v>
      </x:c>
      <x:c r="C5" s="16" t="str">
        <x:v>01_Data\01_2025_Analytical and 05_Appendices\Appendix_B_Analytical_Reports</x:v>
      </x:c>
      <x:c r="D5" s="16" t="str">
        <x:v>Control current-year concentrations, duplicates, and exceedance labels.</x:v>
      </x:c>
      <x:c r="E5" s="16" t="str">
        <x:v>All priority plates</x:v>
      </x:c>
      <x:c r="F5" s="16" t="str">
        <x:v>Partially available</x:v>
      </x:c>
      <x:c r="G5" s="16" t="str">
        <x:v>Project team</x:v>
      </x:c>
      <x:c r="H5" s="16" t="str">
        <x:v>Use final validated table when available; Appendix B supports current values.</x:v>
      </x:c>
    </x:row>
    <x:row r="6" ht="50" customHeight="1">
      <x:c r="A6" s="16" t="str">
        <x:v>Historical analytical data</x:v>
      </x:c>
      <x:c r="B6" s="16" t="str">
        <x:v>Intermediate and Deep MW Historical Data_2025 workbooks/PDFs</x:v>
      </x:c>
      <x:c r="C6" s="16" t="str">
        <x:v>01_Data\02_Historical_Data</x:v>
      </x:c>
      <x:c r="D6" s="16" t="str">
        <x:v>Control historical series plotted on plates.</x:v>
      </x:c>
      <x:c r="E6" s="16" t="str">
        <x:v>All priority plates</x:v>
      </x:c>
      <x:c r="F6" s="16" t="str">
        <x:v>Available / confirm final</x:v>
      </x:c>
      <x:c r="G6" s="16" t="str">
        <x:v>Project team</x:v>
      </x:c>
      <x:c r="H6" s="16" t="str">
        <x:v>Use long-format master data if possible.</x:v>
      </x:c>
    </x:row>
    <x:row r="7" ht="50" customHeight="1">
      <x:c r="A7" s="16" t="str">
        <x:v>Water levels</x:v>
      </x:c>
      <x:c r="B7" s="16" t="str">
        <x:v>2025 groundwater elevation table and historical water levels</x:v>
      </x:c>
      <x:c r="C7" s="16" t="str">
        <x:v>01_Data\03_Water_Levels_and_Field_Parameters</x:v>
      </x:c>
      <x:c r="D7" s="16" t="str">
        <x:v>Support hydraulic context panels and potentiometric figures.</x:v>
      </x:c>
      <x:c r="E7" s="16" t="str">
        <x:v>Plates with GW context</x:v>
      </x:c>
      <x:c r="F7" s="16" t="str">
        <x:v>Needed</x:v>
      </x:c>
      <x:c r="G7" s="16" t="str">
        <x:v>Project team/GIS</x:v>
      </x:c>
      <x:c r="H7" s="16" t="str">
        <x:v>Use validated gauging table; do not extract from handwritten logs unless necessary.</x:v>
      </x:c>
    </x:row>
    <x:row r="8" ht="50" customHeight="1">
      <x:c r="A8" s="16" t="str">
        <x:v>Field parameters</x:v>
      </x:c>
      <x:c r="B8" s="16" t="str">
        <x:v>2025 field parameter summary</x:v>
      </x:c>
      <x:c r="C8" s="16" t="str">
        <x:v>01_Data\03_Water_Levels_and_Field_Parameters</x:v>
      </x:c>
      <x:c r="D8" s="16" t="str">
        <x:v>Support MNA indicator interpretation.</x:v>
      </x:c>
      <x:c r="E8" s="16" t="str">
        <x:v>MNA support panels</x:v>
      </x:c>
      <x:c r="F8" s="16" t="str">
        <x:v>Needed</x:v>
      </x:c>
      <x:c r="G8" s="16" t="str">
        <x:v>Project team</x:v>
      </x:c>
      <x:c r="H8" s="16" t="str">
        <x:v>Use electronic table where available.</x:v>
      </x:c>
    </x:row>
    <x:row r="9" ht="50" customHeight="1">
      <x:c r="A9" s="16" t="str">
        <x:v>MNA analytical data</x:v>
      </x:c>
      <x:c r="B9" s="16" t="str">
        <x:v>Methane/ethene/ethane, TOC, anions, iron</x:v>
      </x:c>
      <x:c r="C9" s="16" t="str">
        <x:v>01_Data\01_2025_Analytical</x:v>
      </x:c>
      <x:c r="D9" s="16" t="str">
        <x:v>Support MNA indicator panels and Table 3-3.</x:v>
      </x:c>
      <x:c r="E9" s="16" t="str">
        <x:v>MNA support panels</x:v>
      </x:c>
      <x:c r="F9" s="16" t="str">
        <x:v>Partially available</x:v>
      </x:c>
      <x:c r="G9" s="16" t="str">
        <x:v>Project team</x:v>
      </x:c>
      <x:c r="H9" s="16" t="str">
        <x:v>Qualifiers from Appendix C must be carried where relevant.</x:v>
      </x:c>
    </x:row>
    <x:row r="10" ht="50" customHeight="1">
      <x:c r="A10" s="16" t="str">
        <x:v>Precipitation data</x:v>
      </x:c>
      <x:c r="B10" s="16" t="str">
        <x:v>Precipitation Trend.xlsx</x:v>
      </x:c>
      <x:c r="C10" s="16" t="str">
        <x:v>01_Data\02_Historical_Data or 04_Trend_Plates\01_Inputs</x:v>
      </x:c>
      <x:c r="D10" s="16" t="str">
        <x:v>Optional supporting context for water-level/concentration behavior.</x:v>
      </x:c>
      <x:c r="E10" s="16" t="str">
        <x:v>Optional</x:v>
      </x:c>
      <x:c r="F10" s="16" t="str">
        <x:v>Available</x:v>
      </x:c>
      <x:c r="G10" s="16" t="str">
        <x:v>Project team</x:v>
      </x:c>
      <x:c r="H10" s="16" t="str">
        <x:v>Keep secondary; do not let precipitation dominate plates.</x:v>
      </x:c>
    </x:row>
    <x:row r="11" ht="50" customHeight="1">
      <x:c r="A11" s="16" t="str">
        <x:v>Well metadata</x:v>
      </x:c>
      <x:c r="B11" s="16" t="str">
        <x:v>Coordinates, screen intervals, well role, site area</x:v>
      </x:c>
      <x:c r="C11" s="16" t="str">
        <x:v>01_Data\05_Well_Metadata_and_GIS_Input and 03_Figures</x:v>
      </x:c>
      <x:c r="D11" s="16" t="str">
        <x:v>Header content and figure/plate index.</x:v>
      </x:c>
      <x:c r="E11" s="16" t="str">
        <x:v>All plates</x:v>
      </x:c>
      <x:c r="F11" s="16" t="str">
        <x:v>Available / verify</x:v>
      </x:c>
      <x:c r="G11" s="16" t="str">
        <x:v>GIS/project team</x:v>
      </x:c>
      <x:c r="H11" s="16" t="str">
        <x:v>Coordinate source is 2025 inspection summary.</x:v>
      </x:c>
    </x:row>
    <x:row r="12" ht="50" customHeight="1">
      <x:c r="A12" s="16" t="str">
        <x:v>Data usability</x:v>
      </x:c>
      <x:c r="B12" s="16" t="str">
        <x:v>Appendix C DUVR/DUSR</x:v>
      </x:c>
      <x:c r="C12" s="16" t="str">
        <x:v>05_Appendices\Appendix_C_Data_Verification_and_Usability</x:v>
      </x:c>
      <x:c r="D12" s="16" t="str">
        <x:v>Qualifier notes and use limitations.</x:v>
      </x:c>
      <x:c r="E12" s="16" t="str">
        <x:v>Plate footnotes and QA/QC</x:v>
      </x:c>
      <x:c r="F12" s="16" t="str">
        <x:v>Available</x:v>
      </x:c>
      <x:c r="G12" s="16" t="str">
        <x:v>Project team</x:v>
      </x:c>
      <x:c r="H12" s="16" t="str">
        <x:v>Carry only qualifiers affecting interpretation.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34" hidden="0" customWidth="1"/>
    <x:col min="5" max="5" width="42" hidden="0" customWidth="1"/>
    <x:col min="6" max="6" width="16" hidden="0" customWidth="1"/>
    <x:col min="7" max="7" width="42" hidden="0" customWidth="1"/>
  </x:cols>
  <x:sheetData>
    <x:row r="1" ht="28" customHeight="1">
      <x:c r="A1" s="18" t="str">
        <x:v>Appendix D Assembly Plan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Historical data and trend-evaluation appendix structure</x:v>
      </x:c>
    </x:row>
    <x:row r="4">
      <x:c r="A4" s="14" t="str">
        <x:v>Appendix D Component</x:v>
      </x:c>
      <x:c r="B4" s="14" t="str">
        <x:v>Description</x:v>
      </x:c>
      <x:c r="C4" s="14" t="str">
        <x:v>Format</x:v>
      </x:c>
      <x:c r="D4" s="14" t="str">
        <x:v>Source Folder</x:v>
      </x:c>
      <x:c r="E4" s="14" t="str">
        <x:v>Final Save Location</x:v>
      </x:c>
      <x:c r="F4" s="14" t="str">
        <x:v>Status</x:v>
      </x:c>
      <x:c r="G4" s="14" t="str">
        <x:v>Notes</x:v>
      </x:c>
    </x:row>
    <x:row r="5" ht="54" customHeight="1">
      <x:c r="A5" s="16" t="str">
        <x:v>D-1 Cover memo / data use summary</x:v>
      </x:c>
      <x:c r="B5" s="16" t="str">
        <x:v>One- to two-page appendix cover explaining data sources, trend approach, plotting conventions, nondetect treatment, and how plates support the main text.</x:v>
      </x:c>
      <x:c r="C5" s="16" t="str">
        <x:v>DOCX/PDF</x:v>
      </x:c>
      <x:c r="D5" s="16" t="str">
        <x:v>06_Text or 04_Trend_Plates</x:v>
      </x:c>
      <x:c r="E5" s="16" t="str">
        <x:v>05_Appendices\Appendix_D_Historical_Data_and_Trend_Evaluation</x:v>
      </x:c>
      <x:c r="F5" s="16" t="str">
        <x:v>Not started</x:v>
      </x:c>
      <x:c r="G5" s="16" t="str">
        <x:v>Should define that Appendix D is support material; main report controls conclusions.</x:v>
      </x:c>
    </x:row>
    <x:row r="6" ht="54" customHeight="1">
      <x:c r="A6" s="16" t="str">
        <x:v>D-2 Historical data workbook</x:v>
      </x:c>
      <x:c r="B6" s="16" t="str">
        <x:v>Filterable electronic workbook with historical analytical data used for trend plates.</x:v>
      </x:c>
      <x:c r="C6" s="16" t="str">
        <x:v>XLSX electronic appendix</x:v>
      </x:c>
      <x:c r="D6" s="16" t="str">
        <x:v>01_Data\02_Historical_Data</x:v>
      </x:c>
      <x:c r="E6" s="16" t="str">
        <x:v>05_Appendices\Appendix_D_Historical_Data_and_Trend_Evaluation</x:v>
      </x:c>
      <x:c r="F6" s="16" t="str">
        <x:v>Working</x:v>
      </x:c>
      <x:c r="G6" s="16" t="str">
        <x:v>Prefer long-format master data plus legacy wide tables if needed.</x:v>
      </x:c>
    </x:row>
    <x:row r="7" ht="54" customHeight="1">
      <x:c r="A7" s="16" t="str">
        <x:v>D-3 Priority well trend plates</x:v>
      </x:c>
      <x:c r="B7" s="16" t="str">
        <x:v>11x17 landscape plates D-1 through D-16.</x:v>
      </x:c>
      <x:c r="C7" s="16" t="str">
        <x:v>PDF package or individual PDFs</x:v>
      </x:c>
      <x:c r="D7" s="16" t="str">
        <x:v>04_Trend_Plates</x:v>
      </x:c>
      <x:c r="E7" s="16" t="str">
        <x:v>05_Appendices\Appendix_D_Historical_Data_and_Trend_Evaluation</x:v>
      </x:c>
      <x:c r="F7" s="16" t="str">
        <x:v>Not started</x:v>
      </x:c>
      <x:c r="G7" s="16" t="str">
        <x:v>Do not create a plate for every well unless AF requests it.</x:v>
      </x:c>
    </x:row>
    <x:row r="8" ht="54" customHeight="1">
      <x:c r="A8" s="16" t="str">
        <x:v>D-4 Trend/MK summary table</x:v>
      </x:c>
      <x:c r="B8" s="16" t="str">
        <x:v>Compact table summarizing long-term trend, recent direction, and data notes for priority wells.</x:v>
      </x:c>
      <x:c r="C8" s="16" t="str">
        <x:v>XLSX/PDF table</x:v>
      </x:c>
      <x:c r="D8" s="16" t="str">
        <x:v>02_Tables and 04_Trend_Plates</x:v>
      </x:c>
      <x:c r="E8" s="16" t="str">
        <x:v>05_Appendices\Appendix_D_Historical_Data_and_Trend_Evaluation</x:v>
      </x:c>
      <x:c r="F8" s="16" t="str">
        <x:v>Not started</x:v>
      </x:c>
      <x:c r="G8" s="16" t="str">
        <x:v>Should align with Table 4-1. Final MK language controlled by this table/plates.</x:v>
      </x:c>
    </x:row>
    <x:row r="9" ht="54" customHeight="1">
      <x:c r="A9" s="16" t="str">
        <x:v>D-5 Plate index / map reference</x:v>
      </x:c>
      <x:c r="B9" s="16" t="str">
        <x:v>Optional index map or plate list cross-referenced to Figure 4-1.</x:v>
      </x:c>
      <x:c r="C9" s="16" t="str">
        <x:v>PDF or figure</x:v>
      </x:c>
      <x:c r="D9" s="16" t="str">
        <x:v>03_Figures and 04_Trend_Plates</x:v>
      </x:c>
      <x:c r="E9" s="16" t="str">
        <x:v>05_Appendices\Appendix_D_Historical_Data_and_Trend_Evaluation</x:v>
      </x:c>
      <x:c r="F9" s="16" t="str">
        <x:v>Not started</x:v>
      </x:c>
      <x:c r="G9" s="16" t="str">
        <x:v>Use Figure 4-1 as main-report index if sufficient.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4" hidden="0" customWidth="1"/>
    <x:col min="4" max="4" width="34" hidden="0" customWidth="1"/>
    <x:col min="5" max="5" width="18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28" customHeight="1">
      <x:c r="A1" s="18" t="str">
        <x:v>Trend Plate QA/QC Checklist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Use before a plate is released for AF working-copy review</x:v>
      </x:c>
    </x:row>
    <x:row r="4">
      <x:c r="A4" s="14" t="str">
        <x:v>QA/QC Item</x:v>
      </x:c>
      <x:c r="B4" s="14" t="str">
        <x:v>Check</x:v>
      </x:c>
      <x:c r="C4" s="14" t="str">
        <x:v>Required?</x:v>
      </x:c>
      <x:c r="D4" s="14" t="str">
        <x:v>Applies To</x:v>
      </x:c>
      <x:c r="E4" s="14" t="str">
        <x:v>Pass / Fail / NA</x:v>
      </x:c>
      <x:c r="F4" s="14" t="str">
        <x:v>Reviewer</x:v>
      </x:c>
      <x:c r="G4" s="14" t="str">
        <x:v>Date</x:v>
      </x:c>
      <x:c r="H4" s="14" t="str">
        <x:v>Comments</x:v>
      </x:c>
    </x:row>
    <x:row r="5" ht="44" customHeight="1">
      <x:c r="A5" s="16" t="str">
        <x:v>Plate identity</x:v>
      </x:c>
      <x:c r="B5" s="16" t="str">
        <x:v>Plate number, well ID, site area, zone, and 2026 action match Plate_Register.</x:v>
      </x:c>
      <x:c r="C5" s="16" t="str">
        <x:v>Yes</x:v>
      </x:c>
      <x:c r="D5" s="16" t="str">
        <x:v>All plates</x:v>
      </x:c>
      <x:c r="E5" s="16" t="str"/>
      <x:c r="F5" s="16" t="str"/>
      <x:c r="G5" s="16" t="str"/>
      <x:c r="H5" s="16" t="str"/>
    </x:row>
    <x:row r="6" ht="44" customHeight="1">
      <x:c r="A6" s="16" t="str">
        <x:v>Source data</x:v>
      </x:c>
      <x:c r="B6" s="16" t="str">
        <x:v>Historical data and 2025 result match final source tables and Appendix B/validated dataset.</x:v>
      </x:c>
      <x:c r="C6" s="16" t="str">
        <x:v>Yes</x:v>
      </x:c>
      <x:c r="D6" s="16" t="str">
        <x:v>All plates</x:v>
      </x:c>
      <x:c r="E6" s="16" t="str"/>
      <x:c r="F6" s="16" t="str"/>
      <x:c r="G6" s="16" t="str"/>
      <x:c r="H6" s="16" t="str"/>
    </x:row>
    <x:row r="7" ht="44" customHeight="1">
      <x:c r="A7" s="16" t="str">
        <x:v>BCT-CSL</x:v>
      </x:c>
      <x:c r="B7" s="16" t="str">
        <x:v>BCT-CSL reference line(s) match Table 2-1.</x:v>
      </x:c>
      <x:c r="C7" s="16" t="str">
        <x:v>Yes</x:v>
      </x:c>
      <x:c r="D7" s="16" t="str">
        <x:v>All COC plots</x:v>
      </x:c>
      <x:c r="E7" s="16" t="str"/>
      <x:c r="F7" s="16" t="str"/>
      <x:c r="G7" s="16" t="str"/>
      <x:c r="H7" s="16" t="str"/>
    </x:row>
    <x:row r="8" ht="44" customHeight="1">
      <x:c r="A8" s="16" t="str">
        <x:v>Nondetects</x:v>
      </x:c>
      <x:c r="B8" s="16" t="str">
        <x:v>Nondetect symbols and plotting convention are clear and consistent.</x:v>
      </x:c>
      <x:c r="C8" s="16" t="str">
        <x:v>Yes</x:v>
      </x:c>
      <x:c r="D8" s="16" t="str">
        <x:v>All plots with nondetects</x:v>
      </x:c>
      <x:c r="E8" s="16" t="str"/>
      <x:c r="F8" s="16" t="str"/>
      <x:c r="G8" s="16" t="str"/>
      <x:c r="H8" s="16" t="str"/>
    </x:row>
    <x:row r="9" ht="44" customHeight="1">
      <x:c r="A9" s="16" t="str">
        <x:v>Data qualifiers</x:v>
      </x:c>
      <x:c r="B9" s="16" t="str">
        <x:v>Qualifiers affecting interpretation are footnoted.</x:v>
      </x:c>
      <x:c r="C9" s="16" t="str">
        <x:v>Yes</x:v>
      </x:c>
      <x:c r="D9" s="16" t="str">
        <x:v>Qualified results</x:v>
      </x:c>
      <x:c r="E9" s="16" t="str"/>
      <x:c r="F9" s="16" t="str"/>
      <x:c r="G9" s="16" t="str"/>
      <x:c r="H9" s="16" t="str"/>
    </x:row>
    <x:row r="10" ht="44" customHeight="1">
      <x:c r="A10" s="16" t="str">
        <x:v>Duplicate results</x:v>
      </x:c>
      <x:c r="B10" s="16" t="str">
        <x:v>Parent/duplicate handling is clear where duplicates affect interpretation.</x:v>
      </x:c>
      <x:c r="C10" s="16" t="str">
        <x:v>As needed</x:v>
      </x:c>
      <x:c r="D10" s="16" t="str">
        <x:v>Well #15, BH01MW02, A39L014DP, others as applicable</x:v>
      </x:c>
      <x:c r="E10" s="16" t="str"/>
      <x:c r="F10" s="16" t="str"/>
      <x:c r="G10" s="16" t="str"/>
      <x:c r="H10" s="16" t="str"/>
    </x:row>
    <x:row r="11" ht="44" customHeight="1">
      <x:c r="A11" s="16" t="str">
        <x:v>Axes</x:v>
      </x:c>
      <x:c r="B11" s="16" t="str">
        <x:v>Y-axis scale, units, tick marks, and labels are readable on 11x17 landscape format.</x:v>
      </x:c>
      <x:c r="C11" s="16" t="str">
        <x:v>Yes</x:v>
      </x:c>
      <x:c r="D11" s="16" t="str">
        <x:v>All plates</x:v>
      </x:c>
      <x:c r="E11" s="16" t="str"/>
      <x:c r="F11" s="16" t="str"/>
      <x:c r="G11" s="16" t="str"/>
      <x:c r="H11" s="16" t="str"/>
    </x:row>
    <x:row r="12" ht="44" customHeight="1">
      <x:c r="A12" s="16" t="str">
        <x:v>Series selection</x:v>
      </x:c>
      <x:c r="B12" s="16" t="str">
        <x:v>Only relevant COCs/MNA indicators are plotted.</x:v>
      </x:c>
      <x:c r="C12" s="16" t="str">
        <x:v>Yes</x:v>
      </x:c>
      <x:c r="D12" s="16" t="str">
        <x:v>All plates</x:v>
      </x:c>
      <x:c r="E12" s="16" t="str"/>
      <x:c r="F12" s="16" t="str"/>
      <x:c r="G12" s="16" t="str"/>
      <x:c r="H12" s="16" t="str"/>
    </x:row>
    <x:row r="13" ht="44" customHeight="1">
      <x:c r="A13" s="16" t="str">
        <x:v>Interpretation</x:v>
      </x:c>
      <x:c r="B13" s="16" t="str">
        <x:v>Interpretation is concise and aligns with Table 4-1.</x:v>
      </x:c>
      <x:c r="C13" s="16" t="str">
        <x:v>Yes</x:v>
      </x:c>
      <x:c r="D13" s="16" t="str">
        <x:v>All plates</x:v>
      </x:c>
      <x:c r="E13" s="16" t="str"/>
      <x:c r="F13" s="16" t="str"/>
      <x:c r="G13" s="16" t="str"/>
      <x:c r="H13" s="16" t="str"/>
    </x:row>
    <x:row r="14" ht="44" customHeight="1">
      <x:c r="A14" s="16" t="str">
        <x:v>Recommendation</x:v>
      </x:c>
      <x:c r="B14" s="16" t="str">
        <x:v>2026 action aligns with Table 5-1.</x:v>
      </x:c>
      <x:c r="C14" s="16" t="str">
        <x:v>Yes</x:v>
      </x:c>
      <x:c r="D14" s="16" t="str">
        <x:v>All plates</x:v>
      </x:c>
      <x:c r="E14" s="16" t="str"/>
      <x:c r="F14" s="16" t="str"/>
      <x:c r="G14" s="16" t="str"/>
      <x:c r="H14" s="16" t="str"/>
    </x:row>
    <x:row r="15" ht="44" customHeight="1">
      <x:c r="A15" s="16" t="str">
        <x:v>Overstatement check</x:v>
      </x:c>
      <x:c r="B15" s="16" t="str">
        <x:v>Plate does not state plume expansion, remedy failure, or back-diffusion unless supported.</x:v>
      </x:c>
      <x:c r="C15" s="16" t="str">
        <x:v>Yes</x:v>
      </x:c>
      <x:c r="D15" s="16" t="str">
        <x:v>All plates</x:v>
      </x:c>
      <x:c r="E15" s="16" t="str"/>
      <x:c r="F15" s="16" t="str"/>
      <x:c r="G15" s="16" t="str"/>
      <x:c r="H15" s="16" t="str"/>
    </x:row>
    <x:row r="16" ht="44" customHeight="1">
      <x:c r="A16" s="16" t="str">
        <x:v>Standalone check</x:v>
      </x:c>
      <x:c r="B16" s="16" t="str">
        <x:v>Plate includes title, notes, units, acronyms, source references, and page/plate number.</x:v>
      </x:c>
      <x:c r="C16" s="16" t="str">
        <x:v>Yes</x:v>
      </x:c>
      <x:c r="D16" s="16" t="str">
        <x:v>All plates</x:v>
      </x:c>
      <x:c r="E16" s="16" t="str"/>
      <x:c r="F16" s="16" t="str"/>
      <x:c r="G16" s="16" t="str"/>
      <x:c r="H16" s="16" t="str"/>
    </x:row>
    <x:row r="17" ht="44" customHeight="1">
      <x:c r="A17" s="16" t="str">
        <x:v>Cross-reference</x:v>
      </x:c>
      <x:c r="B17" s="16" t="str">
        <x:v>Plate number appears correctly in Appendix D and Figure 4-1/plate index.</x:v>
      </x:c>
      <x:c r="C17" s="16" t="str">
        <x:v>Yes</x:v>
      </x:c>
      <x:c r="D17" s="16" t="str">
        <x:v>All plates</x:v>
      </x:c>
      <x:c r="E17" s="16" t="str"/>
      <x:c r="F17" s="16" t="str"/>
      <x:c r="G17" s="16" t="str"/>
      <x:c r="H17" s="16" t="str"/>
    </x:row>
    <x:row r="18" ht="44" customHeight="1">
      <x:c r="A18" s="16" t="str">
        <x:v>Formatting</x:v>
      </x:c>
      <x:c r="B18" s="16" t="str">
        <x:v>No clipped labels, crowded legends, unreadable symbols, or inconsistent styles.</x:v>
      </x:c>
      <x:c r="C18" s="16" t="str">
        <x:v>Yes</x:v>
      </x:c>
      <x:c r="D18" s="16" t="str">
        <x:v>All plates</x:v>
      </x:c>
      <x:c r="E18" s="16" t="str"/>
      <x:c r="F18" s="16" t="str"/>
      <x:c r="G18" s="16" t="str"/>
      <x:c r="H18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36" hidden="0" customWidth="1"/>
    <x:col min="5" max="5" width="42" hidden="0" customWidth="1"/>
    <x:col min="6" max="6" width="38" hidden="0" customWidth="1"/>
    <x:col min="7" max="7" width="42" hidden="0" customWidth="1"/>
  </x:cols>
  <x:sheetData>
    <x:row r="1" ht="28" customHeight="1">
      <x:c r="A1" s="18" t="str">
        <x:v>Optional Watch List / Potential Supplemental Plates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Do not add plates unless needed for client/regulator response or final trend interpretation</x:v>
      </x:c>
    </x:row>
    <x:row r="4">
      <x:c r="A4" s="14" t="str">
        <x:v>Well / Item</x:v>
      </x:c>
      <x:c r="B4" s="14" t="str">
        <x:v>Reason for Tracking</x:v>
      </x:c>
      <x:c r="C4" s="14" t="str">
        <x:v>Current Status</x:v>
      </x:c>
      <x:c r="D4" s="14" t="str">
        <x:v>Potential Use</x:v>
      </x:c>
      <x:c r="E4" s="14" t="str">
        <x:v>Trigger for Plate</x:v>
      </x:c>
      <x:c r="F4" s="14" t="str">
        <x:v>Recommended Handling</x:v>
      </x:c>
      <x:c r="G4" s="14" t="str">
        <x:v>Notes</x:v>
      </x:c>
    </x:row>
    <x:row r="5" ht="54" customHeight="1">
      <x:c r="A5" s="16" t="str">
        <x:v>BH01MW03</x:v>
      </x:c>
      <x:c r="B5" s="16" t="str">
        <x:v>VC at BCT-CSL (2.0 µg/L) but not greater than BCT-CSL.</x:v>
      </x:c>
      <x:c r="C5" s="16" t="str">
        <x:v>Watch list</x:v>
      </x:c>
      <x:c r="D5" s="16" t="str">
        <x:v>Narrative note or Table 4-1 note only.</x:v>
      </x:c>
      <x:c r="E5" s="16" t="str">
        <x:v>Add plate only if AF requests threshold-level support or if 2026 exceeds BCT-CSL.</x:v>
      </x:c>
      <x:c r="F5" s="16" t="str">
        <x:v>Do not include as a 2025 exceedance plate.</x:v>
      </x:c>
      <x:c r="G5" s="16" t="str">
        <x:v>Use 'at BCT-CSL' language, not exceedance.</x:v>
      </x:c>
    </x:row>
    <x:row r="6" ht="54" customHeight="1">
      <x:c r="A6" s="16" t="str">
        <x:v>A39MW097</x:v>
      </x:c>
      <x:c r="B6" s="16" t="str">
        <x:v>Annual well not found during 2025 inspection/sampling.</x:v>
      </x:c>
      <x:c r="C6" s="16" t="str">
        <x:v>Network exception</x:v>
      </x:c>
      <x:c r="D6" s="16" t="str">
        <x:v>Table 2-2 and Table 5-1 support.</x:v>
      </x:c>
      <x:c r="E6" s="16" t="str">
        <x:v>Add plate only if historical trend needs to support well status decision.</x:v>
      </x:c>
      <x:c r="F6" s="16" t="str">
        <x:v>Treat as field/network status item, not remedy-performance plate.</x:v>
      </x:c>
      <x:c r="G6" s="16" t="str">
        <x:v>2025 inspection table supports not-found status.</x:v>
      </x:c>
    </x:row>
    <x:row r="7" ht="54" customHeight="1">
      <x:c r="A7" s="16" t="str">
        <x:v>A39L009PZ</x:v>
      </x:c>
      <x:c r="B7" s="16" t="str">
        <x:v>Potential Work Plan/sample versus gauging-only status reconciliation.</x:v>
      </x:c>
      <x:c r="C7" s="16" t="str">
        <x:v>Scope reconciliation</x:v>
      </x:c>
      <x:c r="D7" s="16" t="str">
        <x:v>Table 2-2 note.</x:v>
      </x:c>
      <x:c r="E7" s="16" t="str">
        <x:v>Add plate only if final scope review identifies sampling optimization issue.</x:v>
      </x:c>
      <x:c r="F7" s="16" t="str">
        <x:v>Keep in decision log until resolved.</x:v>
      </x:c>
      <x:c r="G7" s="16" t="str">
        <x:v>Do not elevate in report unless necessary.</x:v>
      </x:c>
    </x:row>
    <x:row r="8" ht="54" customHeight="1">
      <x:c r="A8" s="16" t="str">
        <x:v>A39L092DP</x:v>
      </x:c>
      <x:c r="B8" s="16" t="str">
        <x:v>Data usability qualifiers for VOC UJ and selected MNA J; not a 2025 exceedance focus.</x:v>
      </x:c>
      <x:c r="C8" s="16" t="str">
        <x:v>Data-quality note</x:v>
      </x:c>
      <x:c r="D8" s="16" t="str">
        <x:v>Table 3-2 and MNA limitation note.</x:v>
      </x:c>
      <x:c r="E8" s="16" t="str">
        <x:v>Add plate only if deep-zone trend evaluation requires it.</x:v>
      </x:c>
      <x:c r="F8" s="16" t="str">
        <x:v>Do not make priority plate unless needed.</x:v>
      </x:c>
      <x:c r="G8" s="16" t="str">
        <x:v>Carry qualifier limitation where data used.</x:v>
      </x:c>
    </x:row>
    <x:row r="9" ht="54" customHeight="1">
      <x:c r="A9" s="16" t="str">
        <x:v>Sentry/perimeter clean wells</x:v>
      </x:c>
      <x:c r="B9" s="16" t="str">
        <x:v>Potential optimization candidates if long-term below BCT-CSLs/non-detect.</x:v>
      </x:c>
      <x:c r="C9" s="16" t="str">
        <x:v>Future optimization</x:v>
      </x:c>
      <x:c r="D9" s="16" t="str">
        <x:v>Table 5-1 recommendation support.</x:v>
      </x:c>
      <x:c r="E9" s="16" t="str">
        <x:v>Add plates only if proposing sampling reduction.</x:v>
      </x:c>
      <x:c r="F9" s="16" t="str">
        <x:v>Use historical optimization logic carefully.</x:v>
      </x:c>
      <x:c r="G9" s="16" t="str">
        <x:v>Avoid automatic removal based only on one clean event.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45" hidden="0" customWidth="1"/>
    <x:col min="4" max="4" width="18" hidden="0" customWidth="1"/>
    <x:col min="5" max="5" width="42" hidden="0" customWidth="1"/>
    <x:col min="6" max="6" width="32" hidden="0" customWidth="1"/>
    <x:col min="7" max="7" width="30" hidden="0" customWidth="1"/>
  </x:cols>
  <x:sheetData>
    <x:row r="1" ht="28" customHeight="1">
      <x:c r="A1" s="18" t="str">
        <x:v>Sources and Assumptions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 ht="24" customHeight="1">
      <x:c r="A2" s="10" t="str">
        <x:v>Working source basis for Appendix D/trend plate development</x:v>
      </x:c>
    </x:row>
    <x:row r="4">
      <x:c r="A4" s="14" t="str">
        <x:v>Source / Basis</x:v>
      </x:c>
      <x:c r="B4" s="14" t="str">
        <x:v>Use in Trend Plate Register</x:v>
      </x:c>
      <x:c r="C4" s="14" t="str">
        <x:v>Location</x:v>
      </x:c>
      <x:c r="D4" s="14" t="str">
        <x:v>Status</x:v>
      </x:c>
      <x:c r="E4" s="14" t="str">
        <x:v>Assumption / Limitation</x:v>
      </x:c>
      <x:c r="F4" s="14" t="str">
        <x:v>Action Needed</x:v>
      </x:c>
      <x:c r="G4" s="14" t="str">
        <x:v>Notes</x:v>
      </x:c>
    </x:row>
    <x:row r="5" ht="48" customHeight="1">
      <x:c r="A5" s="16" t="str">
        <x:v>2025 AMR Tables 3-1, 3-3, 4-1, and 5-1</x:v>
      </x:c>
      <x:c r="B5" s="16" t="str">
        <x:v>Controls priority wells, exceedance list, MNA interpretation, and recommended action.</x:v>
      </x:c>
      <x:c r="C5" s="16" t="str">
        <x:v>02_Tables\2025_SS045_AMR_Tables_1-1_to_5-1_Working.xlsx</x:v>
      </x:c>
      <x:c r="D5" s="16" t="str">
        <x:v>Working</x:v>
      </x:c>
      <x:c r="E5" s="16" t="str">
        <x:v>Final values must be reconciled to final analytical summary table before submittal.</x:v>
      </x:c>
      <x:c r="F5" s="16" t="str">
        <x:v>Update register after tables are finalized.</x:v>
      </x:c>
      <x:c r="G5" s="16" t="str"/>
    </x:row>
    <x:row r="6" ht="48" customHeight="1">
      <x:c r="A6" s="16" t="str">
        <x:v>Appendix B Analytical Reports</x:v>
      </x:c>
      <x:c r="B6" s="16" t="str">
        <x:v>Supports current-year analytical results and duplicate values.</x:v>
      </x:c>
      <x:c r="C6" s="16" t="str">
        <x:v>05_Appendices\Appendix_B_Analytical_Reports</x:v>
      </x:c>
      <x:c r="D6" s="16" t="str">
        <x:v>Available</x:v>
      </x:c>
      <x:c r="E6" s="16" t="str">
        <x:v>Use final validated results and final DUVR qualifiers.</x:v>
      </x:c>
      <x:c r="F6" s="16" t="str">
        <x:v>Cross-check before final plates.</x:v>
      </x:c>
      <x:c r="G6" s="16" t="str"/>
    </x:row>
    <x:row r="7" ht="48" customHeight="1">
      <x:c r="A7" s="16" t="str">
        <x:v>Appendix C Data Verification and Usability Report</x:v>
      </x:c>
      <x:c r="B7" s="16" t="str">
        <x:v>Controls qualifiers and data-use limitations.</x:v>
      </x:c>
      <x:c r="C7" s="16" t="str">
        <x:v>05_Appendices\Appendix_C_Data_Verification_and_Usability</x:v>
      </x:c>
      <x:c r="D7" s="16" t="str">
        <x:v>Available</x:v>
      </x:c>
      <x:c r="E7" s="16" t="str">
        <x:v>Minor DUVR documentation issues should not be over-elevated unless data usability is affected.</x:v>
      </x:c>
      <x:c r="F7" s="16" t="str">
        <x:v>Carry relevant qualifiers on plates.</x:v>
      </x:c>
      <x:c r="G7" s="16" t="str"/>
    </x:row>
    <x:row r="8" ht="48" customHeight="1">
      <x:c r="A8" s="16" t="str">
        <x:v>Historical Data Summary workbooks/PDFs</x:v>
      </x:c>
      <x:c r="B8" s="16" t="str">
        <x:v>Controls historical COC series and supporting trend plots.</x:v>
      </x:c>
      <x:c r="C8" s="16" t="str">
        <x:v>01_Data\02_Historical_Data</x:v>
      </x:c>
      <x:c r="D8" s="16" t="str">
        <x:v>Available / verify final</x:v>
      </x:c>
      <x:c r="E8" s="16" t="str">
        <x:v>Use long-format cleaned dataset if prepared.</x:v>
      </x:c>
      <x:c r="F8" s="16" t="str">
        <x:v>Confirm final deep and intermediate data workbooks.</x:v>
      </x:c>
      <x:c r="G8" s="16" t="str"/>
    </x:row>
    <x:row r="9" ht="48" customHeight="1">
      <x:c r="A9" s="16" t="str">
        <x:v>2025 Monitoring Well Inspection Summary</x:v>
      </x:c>
      <x:c r="B9" s="16" t="str">
        <x:v>Supports well status, coordinates, site area context, and A39MW097 field exception.</x:v>
      </x:c>
      <x:c r="C9" s="16" t="str">
        <x:v>05_Appendices\Appendix_A_Field_Documentation</x:v>
      </x:c>
      <x:c r="D9" s="16" t="str">
        <x:v>Available</x:v>
      </x:c>
      <x:c r="E9" s="16" t="str">
        <x:v>Inspection table is not a substitute for analytical results.</x:v>
      </x:c>
      <x:c r="F9" s="16" t="str">
        <x:v>Use for metadata and not-found status.</x:v>
      </x:c>
      <x:c r="G9" s="16" t="str"/>
    </x:row>
    <x:row r="10" ht="48" customHeight="1">
      <x:c r="A10" s="16" t="str">
        <x:v>EPA MNA / LTMO guidance</x:v>
      </x:c>
      <x:c r="B10" s="16" t="str">
        <x:v>Supports performance-monitoring and monitoring optimization framework in report narrative, not individual plot points.</x:v>
      </x:c>
      <x:c r="C10" s="16" t="str">
        <x:v>References chapter / Source Basis Excerpts</x:v>
      </x:c>
      <x:c r="D10" s="16" t="str">
        <x:v>Reference basis</x:v>
      </x:c>
      <x:c r="E10" s="16" t="str">
        <x:v>Do not overburden Appendix D with guidance narrative.</x:v>
      </x:c>
      <x:c r="F10" s="16" t="str">
        <x:v>Cite in report body and references.</x:v>
      </x:c>
      <x:c r="G10" s="16" t="str"/>
    </x:row>
  </x:sheetData>
  <x:mergeCells>
    <x:mergeCell ref="A1:G1"/>
    <x:mergeCell ref="A2:G2"/>
  </x:mergeCells>
  <x:pageMargins left="0.7" right="0.7" top="0.75" bottom="0.75" header="0.3" footer="0.3"/>
</x:worksheet>
</file>